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van\Projects\loki_log_analyzer\"/>
    </mc:Choice>
  </mc:AlternateContent>
  <xr:revisionPtr revIDLastSave="0" documentId="13_ncr:1_{AEB8316B-A97E-4DE5-8DCA-2D7024A8D205}" xr6:coauthVersionLast="47" xr6:coauthVersionMax="47" xr10:uidLastSave="{00000000-0000-0000-0000-000000000000}"/>
  <bookViews>
    <workbookView xWindow="-120" yWindow="-120" windowWidth="29040" windowHeight="15720" firstSheet="5" activeTab="11" xr2:uid="{047F8E52-0349-46C4-89D8-8DE1C971919F}"/>
  </bookViews>
  <sheets>
    <sheet name="Januari_By_Owner" sheetId="1" r:id="rId1"/>
    <sheet name="Februari_By_Owner" sheetId="2" r:id="rId2"/>
    <sheet name="Maret_By_Owner" sheetId="4" r:id="rId3"/>
    <sheet name="April_By_Owner" sheetId="5" r:id="rId4"/>
    <sheet name="Mei_By_Owner" sheetId="6" r:id="rId5"/>
    <sheet name="Januari_By_Requester" sheetId="14" r:id="rId6"/>
    <sheet name="Februari_By_Requester" sheetId="17" r:id="rId7"/>
    <sheet name="Maret_By_Requester" sheetId="18" r:id="rId8"/>
    <sheet name="April_By_Requester" sheetId="19" r:id="rId9"/>
    <sheet name="Mei_By_Requester" sheetId="20" r:id="rId10"/>
    <sheet name="Active" sheetId="8" r:id="rId11"/>
    <sheet name="Monthly_Recap" sheetId="22" r:id="rId12"/>
  </sheets>
  <definedNames>
    <definedName name="_xlnm._FilterDatabase" localSheetId="3" hidden="1">April_By_Owner!$B$2:$AH$2</definedName>
    <definedName name="_xlnm._FilterDatabase" localSheetId="8" hidden="1">April_By_Requester!$B$2:$AH$2</definedName>
    <definedName name="_xlnm._FilterDatabase" localSheetId="1" hidden="1">Februari_By_Owner!$B$2:$AD$2</definedName>
    <definedName name="_xlnm._FilterDatabase" localSheetId="6" hidden="1">Februari_By_Requester!$B$2:$AD$2</definedName>
    <definedName name="_xlnm._FilterDatabase" localSheetId="0" hidden="1">Januari_By_Owner!$B$2:$AI$2</definedName>
    <definedName name="_xlnm._FilterDatabase" localSheetId="5" hidden="1">Januari_By_Requester!$B$2:$AI$2</definedName>
    <definedName name="_xlnm._FilterDatabase" localSheetId="2" hidden="1">Maret_By_Owner!$B$2:$AF$2</definedName>
    <definedName name="_xlnm._FilterDatabase" localSheetId="7" hidden="1">Maret_By_Requester!$B$2:$AF$2</definedName>
    <definedName name="_xlnm._FilterDatabase" localSheetId="4" hidden="1">Mei_By_Owner!$B$2:$AI$2</definedName>
    <definedName name="_xlnm._FilterDatabase" localSheetId="9" hidden="1">Mei_By_Requester!$B$2:$AI$2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22" l="1"/>
  <c r="F44" i="22"/>
  <c r="E44" i="22"/>
  <c r="D44" i="22"/>
  <c r="C44" i="22"/>
  <c r="G31" i="22"/>
  <c r="F31" i="22"/>
  <c r="E31" i="22"/>
  <c r="D31" i="22"/>
  <c r="C31" i="22"/>
  <c r="D3" i="8"/>
  <c r="C3" i="8"/>
  <c r="B3" i="8"/>
  <c r="AI9" i="20"/>
  <c r="AH9" i="20"/>
  <c r="AI17" i="20"/>
  <c r="AH17" i="20"/>
  <c r="AI23" i="20"/>
  <c r="AH23" i="20"/>
  <c r="AI41" i="20"/>
  <c r="AH41" i="20"/>
  <c r="AI34" i="20"/>
  <c r="AH34" i="20"/>
  <c r="AI33" i="20"/>
  <c r="AH33" i="20"/>
  <c r="AI21" i="20"/>
  <c r="AH21" i="20"/>
  <c r="AI14" i="20"/>
  <c r="AH14" i="20"/>
  <c r="AI15" i="20"/>
  <c r="AH15" i="20"/>
  <c r="AI19" i="20"/>
  <c r="AH19" i="20"/>
  <c r="AI32" i="20"/>
  <c r="AH32" i="20"/>
  <c r="AI31" i="20"/>
  <c r="AH31" i="20"/>
  <c r="AI22" i="20"/>
  <c r="AH22" i="20"/>
  <c r="AI8" i="20"/>
  <c r="AH8" i="20"/>
  <c r="AI40" i="20"/>
  <c r="AH40" i="20"/>
  <c r="AI20" i="20"/>
  <c r="AH20" i="20"/>
  <c r="AI30" i="20"/>
  <c r="AH30" i="20"/>
  <c r="AI13" i="20"/>
  <c r="AH13" i="20"/>
  <c r="AI16" i="20"/>
  <c r="AH16" i="20"/>
  <c r="AI25" i="20"/>
  <c r="AH25" i="20"/>
  <c r="AI7" i="20"/>
  <c r="AH7" i="20"/>
  <c r="AI39" i="20"/>
  <c r="AH39" i="20"/>
  <c r="AI6" i="20"/>
  <c r="AH6" i="20"/>
  <c r="AI38" i="20"/>
  <c r="AH38" i="20"/>
  <c r="AI29" i="20"/>
  <c r="AH29" i="20"/>
  <c r="AI28" i="20"/>
  <c r="AH28" i="20"/>
  <c r="AI12" i="20"/>
  <c r="AH12" i="20"/>
  <c r="AI27" i="20"/>
  <c r="AH27" i="20"/>
  <c r="AI5" i="20"/>
  <c r="AH5" i="20"/>
  <c r="AI18" i="20"/>
  <c r="AH18" i="20"/>
  <c r="AI4" i="20"/>
  <c r="AH4" i="20"/>
  <c r="AI11" i="20"/>
  <c r="AH11" i="20"/>
  <c r="AI26" i="20"/>
  <c r="AH26" i="20"/>
  <c r="AI10" i="20"/>
  <c r="AH10" i="20"/>
  <c r="AI24" i="20"/>
  <c r="AH24" i="20"/>
  <c r="AI37" i="20"/>
  <c r="AH37" i="20"/>
  <c r="AI3" i="20"/>
  <c r="AH3" i="20"/>
  <c r="AI36" i="20"/>
  <c r="AH36" i="20"/>
  <c r="AI35" i="20"/>
  <c r="AH35" i="20"/>
  <c r="AH8" i="19"/>
  <c r="AG8" i="19"/>
  <c r="AH20" i="19"/>
  <c r="AG20" i="19"/>
  <c r="AH27" i="19"/>
  <c r="AG27" i="19"/>
  <c r="AH41" i="19"/>
  <c r="AG41" i="19"/>
  <c r="AH22" i="19"/>
  <c r="AG22" i="19"/>
  <c r="AH40" i="19"/>
  <c r="AG40" i="19"/>
  <c r="AH26" i="19"/>
  <c r="AG26" i="19"/>
  <c r="AH17" i="19"/>
  <c r="AG17" i="19"/>
  <c r="AH39" i="19"/>
  <c r="AG39" i="19"/>
  <c r="AH38" i="19"/>
  <c r="AG38" i="19"/>
  <c r="AH37" i="19"/>
  <c r="AG37" i="19"/>
  <c r="AH25" i="19"/>
  <c r="AG25" i="19"/>
  <c r="AH15" i="19"/>
  <c r="AG15" i="19"/>
  <c r="AH7" i="19"/>
  <c r="AG7" i="19"/>
  <c r="AH36" i="19"/>
  <c r="AG36" i="19"/>
  <c r="AH18" i="19"/>
  <c r="AG18" i="19"/>
  <c r="AH35" i="19"/>
  <c r="AG35" i="19"/>
  <c r="AH14" i="19"/>
  <c r="AG14" i="19"/>
  <c r="AH13" i="19"/>
  <c r="AG13" i="19"/>
  <c r="AH19" i="19"/>
  <c r="AG19" i="19"/>
  <c r="AH6" i="19"/>
  <c r="AG6" i="19"/>
  <c r="AH34" i="19"/>
  <c r="AG34" i="19"/>
  <c r="AH5" i="19"/>
  <c r="AG5" i="19"/>
  <c r="AH33" i="19"/>
  <c r="AG33" i="19"/>
  <c r="AH32" i="19"/>
  <c r="AG32" i="19"/>
  <c r="AH31" i="19"/>
  <c r="AG31" i="19"/>
  <c r="AH11" i="19"/>
  <c r="AG11" i="19"/>
  <c r="AH30" i="19"/>
  <c r="AG30" i="19"/>
  <c r="AH9" i="19"/>
  <c r="AG9" i="19"/>
  <c r="AH12" i="19"/>
  <c r="AG12" i="19"/>
  <c r="AH4" i="19"/>
  <c r="AG4" i="19"/>
  <c r="AH24" i="19"/>
  <c r="AG24" i="19"/>
  <c r="AH23" i="19"/>
  <c r="AG23" i="19"/>
  <c r="AH10" i="19"/>
  <c r="AG10" i="19"/>
  <c r="AH16" i="19"/>
  <c r="AG16" i="19"/>
  <c r="AH21" i="19"/>
  <c r="AG21" i="19"/>
  <c r="AH3" i="19"/>
  <c r="AG3" i="19"/>
  <c r="AH29" i="19"/>
  <c r="AG29" i="19"/>
  <c r="AH28" i="19"/>
  <c r="AG28" i="19"/>
  <c r="AF6" i="18"/>
  <c r="AE6" i="18"/>
  <c r="AF10" i="18"/>
  <c r="AE10" i="18"/>
  <c r="AF41" i="18"/>
  <c r="AE41" i="18"/>
  <c r="AF40" i="18"/>
  <c r="AE40" i="18"/>
  <c r="AF39" i="18"/>
  <c r="AE39" i="18"/>
  <c r="AF38" i="18"/>
  <c r="AE38" i="18"/>
  <c r="AF37" i="18"/>
  <c r="AE37" i="18"/>
  <c r="AF36" i="18"/>
  <c r="AE36" i="18"/>
  <c r="AF35" i="18"/>
  <c r="AE35" i="18"/>
  <c r="AF34" i="18"/>
  <c r="AE34" i="18"/>
  <c r="AF33" i="18"/>
  <c r="AE33" i="18"/>
  <c r="AF20" i="18"/>
  <c r="AE20" i="18"/>
  <c r="AF14" i="18"/>
  <c r="AE14" i="18"/>
  <c r="AF5" i="18"/>
  <c r="AE5" i="18"/>
  <c r="AF21" i="18"/>
  <c r="AE21" i="18"/>
  <c r="AF18" i="18"/>
  <c r="AE18" i="18"/>
  <c r="AF32" i="18"/>
  <c r="AE32" i="18"/>
  <c r="AF31" i="18"/>
  <c r="AE31" i="18"/>
  <c r="AF13" i="18"/>
  <c r="AE13" i="18"/>
  <c r="AF19" i="18"/>
  <c r="AE19" i="18"/>
  <c r="AF9" i="18"/>
  <c r="AE9" i="18"/>
  <c r="AF30" i="18"/>
  <c r="AE30" i="18"/>
  <c r="AF8" i="18"/>
  <c r="AE8" i="18"/>
  <c r="AF29" i="18"/>
  <c r="AE29" i="18"/>
  <c r="AF28" i="18"/>
  <c r="AE28" i="18"/>
  <c r="AF27" i="18"/>
  <c r="AE27" i="18"/>
  <c r="AF12" i="18"/>
  <c r="AE12" i="18"/>
  <c r="AF26" i="18"/>
  <c r="AE26" i="18"/>
  <c r="AF4" i="18"/>
  <c r="AE4" i="18"/>
  <c r="AF15" i="18"/>
  <c r="AE15" i="18"/>
  <c r="AF7" i="18"/>
  <c r="AE7" i="18"/>
  <c r="AF25" i="18"/>
  <c r="AE25" i="18"/>
  <c r="AF24" i="18"/>
  <c r="AE24" i="18"/>
  <c r="AF11" i="18"/>
  <c r="AE11" i="18"/>
  <c r="AF17" i="18"/>
  <c r="AE17" i="18"/>
  <c r="AF23" i="18"/>
  <c r="AE23" i="18"/>
  <c r="AF3" i="18"/>
  <c r="AE3" i="18"/>
  <c r="AF22" i="18"/>
  <c r="AE22" i="18"/>
  <c r="AF16" i="18"/>
  <c r="AE16" i="18"/>
  <c r="AD10" i="17"/>
  <c r="AC10" i="17"/>
  <c r="AD9" i="17"/>
  <c r="AC9" i="17"/>
  <c r="AD19" i="17"/>
  <c r="AC19" i="17"/>
  <c r="AD41" i="17"/>
  <c r="AC41" i="17"/>
  <c r="AD22" i="17"/>
  <c r="AC22" i="17"/>
  <c r="AD40" i="17"/>
  <c r="AC40" i="17"/>
  <c r="AD39" i="17"/>
  <c r="AC39" i="17"/>
  <c r="AD8" i="17"/>
  <c r="AC8" i="17"/>
  <c r="AD38" i="17"/>
  <c r="AC38" i="17"/>
  <c r="AD37" i="17"/>
  <c r="AC37" i="17"/>
  <c r="AD36" i="17"/>
  <c r="AC36" i="17"/>
  <c r="AD21" i="17"/>
  <c r="AC21" i="17"/>
  <c r="AD15" i="17"/>
  <c r="AC15" i="17"/>
  <c r="AD7" i="17"/>
  <c r="AC7" i="17"/>
  <c r="AD35" i="17"/>
  <c r="AC35" i="17"/>
  <c r="AD34" i="17"/>
  <c r="AC34" i="17"/>
  <c r="AD33" i="17"/>
  <c r="AC33" i="17"/>
  <c r="AD32" i="17"/>
  <c r="AC32" i="17"/>
  <c r="AD17" i="17"/>
  <c r="AC17" i="17"/>
  <c r="AD20" i="17"/>
  <c r="AC20" i="17"/>
  <c r="AD6" i="17"/>
  <c r="AC6" i="17"/>
  <c r="AD23" i="17"/>
  <c r="AC23" i="17"/>
  <c r="AD11" i="17"/>
  <c r="AC11" i="17"/>
  <c r="AD24" i="17"/>
  <c r="AC24" i="17"/>
  <c r="AD31" i="17"/>
  <c r="AC31" i="17"/>
  <c r="AD30" i="17"/>
  <c r="AC30" i="17"/>
  <c r="AD13" i="17"/>
  <c r="AC13" i="17"/>
  <c r="AD29" i="17"/>
  <c r="AC29" i="17"/>
  <c r="AD5" i="17"/>
  <c r="AC5" i="17"/>
  <c r="AD14" i="17"/>
  <c r="AC14" i="17"/>
  <c r="AD4" i="17"/>
  <c r="AC4" i="17"/>
  <c r="AD28" i="17"/>
  <c r="AC28" i="17"/>
  <c r="AD27" i="17"/>
  <c r="AC27" i="17"/>
  <c r="AD12" i="17"/>
  <c r="AC12" i="17"/>
  <c r="AD16" i="17"/>
  <c r="AC16" i="17"/>
  <c r="AD26" i="17"/>
  <c r="AC26" i="17"/>
  <c r="AD3" i="17"/>
  <c r="AC3" i="17"/>
  <c r="AD25" i="17"/>
  <c r="AC25" i="17"/>
  <c r="AD18" i="17"/>
  <c r="AC18" i="17"/>
  <c r="AI9" i="14"/>
  <c r="AH9" i="14"/>
  <c r="AI8" i="14"/>
  <c r="AH8" i="14"/>
  <c r="AI41" i="14"/>
  <c r="AH41" i="14"/>
  <c r="AI40" i="14"/>
  <c r="AH40" i="14"/>
  <c r="AI18" i="14"/>
  <c r="AH18" i="14"/>
  <c r="AI39" i="14"/>
  <c r="AH39" i="14"/>
  <c r="AI38" i="14"/>
  <c r="AH38" i="14"/>
  <c r="AI7" i="14"/>
  <c r="AH7" i="14"/>
  <c r="AI37" i="14"/>
  <c r="AH37" i="14"/>
  <c r="AI36" i="14"/>
  <c r="AH36" i="14"/>
  <c r="AI35" i="14"/>
  <c r="AH35" i="14"/>
  <c r="AI15" i="14"/>
  <c r="AH15" i="14"/>
  <c r="AI17" i="14"/>
  <c r="AH17" i="14"/>
  <c r="AI6" i="14"/>
  <c r="AH6" i="14"/>
  <c r="AI23" i="14"/>
  <c r="AH23" i="14"/>
  <c r="AI34" i="14"/>
  <c r="AH34" i="14"/>
  <c r="AI33" i="14"/>
  <c r="AH33" i="14"/>
  <c r="AI32" i="14"/>
  <c r="AH32" i="14"/>
  <c r="AI31" i="14"/>
  <c r="AH31" i="14"/>
  <c r="AI20" i="14"/>
  <c r="AH20" i="14"/>
  <c r="AI5" i="14"/>
  <c r="AH5" i="14"/>
  <c r="AI22" i="14"/>
  <c r="AH22" i="14"/>
  <c r="AI4" i="14"/>
  <c r="AH4" i="14"/>
  <c r="AI30" i="14"/>
  <c r="AH30" i="14"/>
  <c r="AI29" i="14"/>
  <c r="AH29" i="14"/>
  <c r="AI28" i="14"/>
  <c r="AH28" i="14"/>
  <c r="AI14" i="14"/>
  <c r="AH14" i="14"/>
  <c r="AI27" i="14"/>
  <c r="AH27" i="14"/>
  <c r="AI11" i="14"/>
  <c r="AH11" i="14"/>
  <c r="AI13" i="14"/>
  <c r="AH13" i="14"/>
  <c r="AI3" i="14"/>
  <c r="AH3" i="14"/>
  <c r="AI26" i="14"/>
  <c r="AH26" i="14"/>
  <c r="AI25" i="14"/>
  <c r="AH25" i="14"/>
  <c r="AI10" i="14"/>
  <c r="AH10" i="14"/>
  <c r="AI16" i="14"/>
  <c r="AH16" i="14"/>
  <c r="AI21" i="14"/>
  <c r="AH21" i="14"/>
  <c r="AI12" i="14"/>
  <c r="AH12" i="14"/>
  <c r="AI24" i="14"/>
  <c r="AH24" i="14"/>
  <c r="AI19" i="14"/>
  <c r="AH19" i="14"/>
  <c r="AI193" i="6"/>
  <c r="AH193" i="6"/>
  <c r="AI84" i="6"/>
  <c r="AH84" i="6"/>
  <c r="AI125" i="6"/>
  <c r="AH125" i="6"/>
  <c r="AI14" i="6"/>
  <c r="AH14" i="6"/>
  <c r="AI124" i="6"/>
  <c r="AH124" i="6"/>
  <c r="AI13" i="6"/>
  <c r="AH13" i="6"/>
  <c r="AI106" i="6"/>
  <c r="AH106" i="6"/>
  <c r="AI192" i="6"/>
  <c r="AH192" i="6"/>
  <c r="AI91" i="6"/>
  <c r="AH91" i="6"/>
  <c r="AI191" i="6"/>
  <c r="AH191" i="6"/>
  <c r="AI27" i="6"/>
  <c r="AH27" i="6"/>
  <c r="AI59" i="6"/>
  <c r="AH59" i="6"/>
  <c r="AI190" i="6"/>
  <c r="AH190" i="6"/>
  <c r="AI123" i="6"/>
  <c r="AH123" i="6"/>
  <c r="AI189" i="6"/>
  <c r="AH189" i="6"/>
  <c r="AI188" i="6"/>
  <c r="AH188" i="6"/>
  <c r="AI39" i="6"/>
  <c r="AH39" i="6"/>
  <c r="AI187" i="6"/>
  <c r="AH187" i="6"/>
  <c r="AI12" i="6"/>
  <c r="AH12" i="6"/>
  <c r="AI186" i="6"/>
  <c r="AH186" i="6"/>
  <c r="AI185" i="6"/>
  <c r="AH185" i="6"/>
  <c r="AI184" i="6"/>
  <c r="AH184" i="6"/>
  <c r="AI183" i="6"/>
  <c r="AH183" i="6"/>
  <c r="AI105" i="6"/>
  <c r="AH105" i="6"/>
  <c r="AI79" i="6"/>
  <c r="AH79" i="6"/>
  <c r="AI182" i="6"/>
  <c r="AH182" i="6"/>
  <c r="AI41" i="6"/>
  <c r="AH41" i="6"/>
  <c r="AI181" i="6"/>
  <c r="AH181" i="6"/>
  <c r="AI78" i="6"/>
  <c r="AH78" i="6"/>
  <c r="AI51" i="6"/>
  <c r="AH51" i="6"/>
  <c r="AI104" i="6"/>
  <c r="AH104" i="6"/>
  <c r="AI35" i="6"/>
  <c r="AH35" i="6"/>
  <c r="AI34" i="6"/>
  <c r="AH34" i="6"/>
  <c r="AI40" i="6"/>
  <c r="AH40" i="6"/>
  <c r="AI180" i="6"/>
  <c r="AH180" i="6"/>
  <c r="AI179" i="6"/>
  <c r="AH179" i="6"/>
  <c r="AI178" i="6"/>
  <c r="AH178" i="6"/>
  <c r="AI177" i="6"/>
  <c r="AH177" i="6"/>
  <c r="AI33" i="6"/>
  <c r="AH33" i="6"/>
  <c r="AI50" i="6"/>
  <c r="AH50" i="6"/>
  <c r="AI103" i="6"/>
  <c r="AH103" i="6"/>
  <c r="AI176" i="6"/>
  <c r="AH176" i="6"/>
  <c r="AI38" i="6"/>
  <c r="AH38" i="6"/>
  <c r="AI175" i="6"/>
  <c r="AH175" i="6"/>
  <c r="AI174" i="6"/>
  <c r="AH174" i="6"/>
  <c r="AI32" i="6"/>
  <c r="AH32" i="6"/>
  <c r="AI173" i="6"/>
  <c r="AH173" i="6"/>
  <c r="AI18" i="6"/>
  <c r="AH18" i="6"/>
  <c r="AI172" i="6"/>
  <c r="AH172" i="6"/>
  <c r="AI43" i="6"/>
  <c r="AH43" i="6"/>
  <c r="AI171" i="6"/>
  <c r="AH171" i="6"/>
  <c r="AI58" i="6"/>
  <c r="AH58" i="6"/>
  <c r="AI82" i="6"/>
  <c r="AH82" i="6"/>
  <c r="AI170" i="6"/>
  <c r="AH170" i="6"/>
  <c r="AI49" i="6"/>
  <c r="AH49" i="6"/>
  <c r="AI169" i="6"/>
  <c r="AH169" i="6"/>
  <c r="AI168" i="6"/>
  <c r="AH168" i="6"/>
  <c r="AI23" i="6"/>
  <c r="AH23" i="6"/>
  <c r="AI17" i="6"/>
  <c r="AH17" i="6"/>
  <c r="AI167" i="6"/>
  <c r="AH167" i="6"/>
  <c r="AI166" i="6"/>
  <c r="AH166" i="6"/>
  <c r="AI69" i="6"/>
  <c r="AH69" i="6"/>
  <c r="AI165" i="6"/>
  <c r="AH165" i="6"/>
  <c r="AI26" i="6"/>
  <c r="AH26" i="6"/>
  <c r="AI164" i="6"/>
  <c r="AH164" i="6"/>
  <c r="AI122" i="6"/>
  <c r="AH122" i="6"/>
  <c r="AI121" i="6"/>
  <c r="AH121" i="6"/>
  <c r="AI163" i="6"/>
  <c r="AH163" i="6"/>
  <c r="AI120" i="6"/>
  <c r="AH120" i="6"/>
  <c r="AI11" i="6"/>
  <c r="AH11" i="6"/>
  <c r="AI90" i="6"/>
  <c r="AH90" i="6"/>
  <c r="AI162" i="6"/>
  <c r="AH162" i="6"/>
  <c r="AI119" i="6"/>
  <c r="AH119" i="6"/>
  <c r="AI102" i="6"/>
  <c r="AH102" i="6"/>
  <c r="AI161" i="6"/>
  <c r="AH161" i="6"/>
  <c r="AI160" i="6"/>
  <c r="AH160" i="6"/>
  <c r="AI159" i="6"/>
  <c r="AH159" i="6"/>
  <c r="AI74" i="6"/>
  <c r="AH74" i="6"/>
  <c r="AI10" i="6"/>
  <c r="AH10" i="6"/>
  <c r="AI158" i="6"/>
  <c r="AH158" i="6"/>
  <c r="AI101" i="6"/>
  <c r="AH101" i="6"/>
  <c r="AI73" i="6"/>
  <c r="AH73" i="6"/>
  <c r="AI25" i="6"/>
  <c r="AH25" i="6"/>
  <c r="AI62" i="6"/>
  <c r="AH62" i="6"/>
  <c r="AI157" i="6"/>
  <c r="AH157" i="6"/>
  <c r="AI57" i="6"/>
  <c r="AH57" i="6"/>
  <c r="AI156" i="6"/>
  <c r="AH156" i="6"/>
  <c r="AI155" i="6"/>
  <c r="AH155" i="6"/>
  <c r="AI48" i="6"/>
  <c r="AH48" i="6"/>
  <c r="AI118" i="6"/>
  <c r="AH118" i="6"/>
  <c r="AI56" i="6"/>
  <c r="AH56" i="6"/>
  <c r="AI77" i="6"/>
  <c r="AH77" i="6"/>
  <c r="AI154" i="6"/>
  <c r="AH154" i="6"/>
  <c r="AI30" i="6"/>
  <c r="AH30" i="6"/>
  <c r="AI81" i="6"/>
  <c r="AH81" i="6"/>
  <c r="AI117" i="6"/>
  <c r="AH117" i="6"/>
  <c r="AI9" i="6"/>
  <c r="AH9" i="6"/>
  <c r="AI116" i="6"/>
  <c r="AH116" i="6"/>
  <c r="AI153" i="6"/>
  <c r="AH153" i="6"/>
  <c r="AI46" i="6"/>
  <c r="AH46" i="6"/>
  <c r="AI152" i="6"/>
  <c r="AH152" i="6"/>
  <c r="AI80" i="6"/>
  <c r="AH80" i="6"/>
  <c r="AI55" i="6"/>
  <c r="AH55" i="6"/>
  <c r="AI115" i="6"/>
  <c r="AH115" i="6"/>
  <c r="AI100" i="6"/>
  <c r="AH100" i="6"/>
  <c r="AI66" i="6"/>
  <c r="AH66" i="6"/>
  <c r="AI114" i="6"/>
  <c r="AH114" i="6"/>
  <c r="AI37" i="6"/>
  <c r="AH37" i="6"/>
  <c r="AI65" i="6"/>
  <c r="AH65" i="6"/>
  <c r="AI22" i="6"/>
  <c r="AH22" i="6"/>
  <c r="AI151" i="6"/>
  <c r="AH151" i="6"/>
  <c r="AI76" i="6"/>
  <c r="AH76" i="6"/>
  <c r="AI54" i="6"/>
  <c r="AH54" i="6"/>
  <c r="AI99" i="6"/>
  <c r="AH99" i="6"/>
  <c r="AI150" i="6"/>
  <c r="AH150" i="6"/>
  <c r="AI29" i="6"/>
  <c r="AH29" i="6"/>
  <c r="AI149" i="6"/>
  <c r="AH149" i="6"/>
  <c r="AI64" i="6"/>
  <c r="AH64" i="6"/>
  <c r="AI148" i="6"/>
  <c r="AH148" i="6"/>
  <c r="AI147" i="6"/>
  <c r="AH147" i="6"/>
  <c r="AI98" i="6"/>
  <c r="AH98" i="6"/>
  <c r="AI146" i="6"/>
  <c r="AH146" i="6"/>
  <c r="AI63" i="6"/>
  <c r="AH63" i="6"/>
  <c r="AI68" i="6"/>
  <c r="AH68" i="6"/>
  <c r="AI97" i="6"/>
  <c r="AH97" i="6"/>
  <c r="AI61" i="6"/>
  <c r="AH61" i="6"/>
  <c r="AI145" i="6"/>
  <c r="AH145" i="6"/>
  <c r="AI89" i="6"/>
  <c r="AH89" i="6"/>
  <c r="AI60" i="6"/>
  <c r="AH60" i="6"/>
  <c r="AI96" i="6"/>
  <c r="AH96" i="6"/>
  <c r="AI113" i="6"/>
  <c r="AH113" i="6"/>
  <c r="AI42" i="6"/>
  <c r="AH42" i="6"/>
  <c r="AI36" i="6"/>
  <c r="AH36" i="6"/>
  <c r="AI144" i="6"/>
  <c r="AH144" i="6"/>
  <c r="AI67" i="6"/>
  <c r="AH67" i="6"/>
  <c r="AI52" i="6"/>
  <c r="AH52" i="6"/>
  <c r="AI95" i="6"/>
  <c r="AH95" i="6"/>
  <c r="AI88" i="6"/>
  <c r="AH88" i="6"/>
  <c r="AI112" i="6"/>
  <c r="AH112" i="6"/>
  <c r="AI143" i="6"/>
  <c r="AH143" i="6"/>
  <c r="AI31" i="6"/>
  <c r="AH31" i="6"/>
  <c r="AI87" i="6"/>
  <c r="AH87" i="6"/>
  <c r="AI142" i="6"/>
  <c r="AH142" i="6"/>
  <c r="AI47" i="6"/>
  <c r="AH47" i="6"/>
  <c r="AI53" i="6"/>
  <c r="AH53" i="6"/>
  <c r="AI75" i="6"/>
  <c r="AH75" i="6"/>
  <c r="AI111" i="6"/>
  <c r="AH111" i="6"/>
  <c r="AI141" i="6"/>
  <c r="AH141" i="6"/>
  <c r="AI45" i="6"/>
  <c r="AH45" i="6"/>
  <c r="AI16" i="6"/>
  <c r="AH16" i="6"/>
  <c r="AI110" i="6"/>
  <c r="AH110" i="6"/>
  <c r="AI28" i="6"/>
  <c r="AH28" i="6"/>
  <c r="AI109" i="6"/>
  <c r="AH109" i="6"/>
  <c r="AI140" i="6"/>
  <c r="AH140" i="6"/>
  <c r="AI94" i="6"/>
  <c r="AH94" i="6"/>
  <c r="AI8" i="6"/>
  <c r="AH8" i="6"/>
  <c r="AI139" i="6"/>
  <c r="AH139" i="6"/>
  <c r="AI93" i="6"/>
  <c r="AH93" i="6"/>
  <c r="AI86" i="6"/>
  <c r="AH86" i="6"/>
  <c r="AI72" i="6"/>
  <c r="AH72" i="6"/>
  <c r="AI21" i="6"/>
  <c r="AH21" i="6"/>
  <c r="AI44" i="6"/>
  <c r="AH44" i="6"/>
  <c r="AI138" i="6"/>
  <c r="AH138" i="6"/>
  <c r="AI137" i="6"/>
  <c r="AH137" i="6"/>
  <c r="AI7" i="6"/>
  <c r="AH7" i="6"/>
  <c r="AI136" i="6"/>
  <c r="AH136" i="6"/>
  <c r="AI19" i="6"/>
  <c r="AH19" i="6"/>
  <c r="AI108" i="6"/>
  <c r="AH108" i="6"/>
  <c r="AI135" i="6"/>
  <c r="AH135" i="6"/>
  <c r="AI15" i="6"/>
  <c r="AH15" i="6"/>
  <c r="AI6" i="6"/>
  <c r="AH6" i="6"/>
  <c r="AI24" i="6"/>
  <c r="AH24" i="6"/>
  <c r="AI85" i="6"/>
  <c r="AH85" i="6"/>
  <c r="AI92" i="6"/>
  <c r="AH92" i="6"/>
  <c r="AI134" i="6"/>
  <c r="AH134" i="6"/>
  <c r="AI20" i="6"/>
  <c r="AH20" i="6"/>
  <c r="AI107" i="6"/>
  <c r="AH107" i="6"/>
  <c r="AI133" i="6"/>
  <c r="AH133" i="6"/>
  <c r="AI132" i="6"/>
  <c r="AH132" i="6"/>
  <c r="AI131" i="6"/>
  <c r="AH131" i="6"/>
  <c r="AI130" i="6"/>
  <c r="AH130" i="6"/>
  <c r="AI129" i="6"/>
  <c r="AH129" i="6"/>
  <c r="AI128" i="6"/>
  <c r="AH128" i="6"/>
  <c r="AI127" i="6"/>
  <c r="AH127" i="6"/>
  <c r="AI126" i="6"/>
  <c r="AH126" i="6"/>
  <c r="AI83" i="6"/>
  <c r="AH83" i="6"/>
  <c r="AI5" i="6"/>
  <c r="AH5" i="6"/>
  <c r="AI71" i="6"/>
  <c r="AH71" i="6"/>
  <c r="AI4" i="6"/>
  <c r="AH4" i="6"/>
  <c r="AI3" i="6"/>
  <c r="AH3" i="6"/>
  <c r="AI70" i="6"/>
  <c r="AH70" i="6"/>
  <c r="AH46" i="5"/>
  <c r="AG46" i="5"/>
  <c r="AH194" i="5"/>
  <c r="AG194" i="5"/>
  <c r="AH193" i="5"/>
  <c r="AG193" i="5"/>
  <c r="AH96" i="5"/>
  <c r="AG96" i="5"/>
  <c r="AH12" i="5"/>
  <c r="AG12" i="5"/>
  <c r="AH192" i="5"/>
  <c r="AG192" i="5"/>
  <c r="AH16" i="5"/>
  <c r="AG16" i="5"/>
  <c r="AH191" i="5"/>
  <c r="AG191" i="5"/>
  <c r="AH112" i="5"/>
  <c r="AG112" i="5"/>
  <c r="AH95" i="5"/>
  <c r="AG95" i="5"/>
  <c r="AH190" i="5"/>
  <c r="AG190" i="5"/>
  <c r="AH76" i="5"/>
  <c r="AG76" i="5"/>
  <c r="AH82" i="5"/>
  <c r="AG82" i="5"/>
  <c r="AH189" i="5"/>
  <c r="AG189" i="5"/>
  <c r="AH188" i="5"/>
  <c r="AG188" i="5"/>
  <c r="AH187" i="5"/>
  <c r="AG187" i="5"/>
  <c r="AH186" i="5"/>
  <c r="AG186" i="5"/>
  <c r="AH52" i="5"/>
  <c r="AG52" i="5"/>
  <c r="AH185" i="5"/>
  <c r="AG185" i="5"/>
  <c r="AH13" i="5"/>
  <c r="AG13" i="5"/>
  <c r="AH184" i="5"/>
  <c r="AG184" i="5"/>
  <c r="AH183" i="5"/>
  <c r="AG183" i="5"/>
  <c r="AH182" i="5"/>
  <c r="AG182" i="5"/>
  <c r="AH181" i="5"/>
  <c r="AG181" i="5"/>
  <c r="AH180" i="5"/>
  <c r="AG180" i="5"/>
  <c r="AH179" i="5"/>
  <c r="AG179" i="5"/>
  <c r="AH178" i="5"/>
  <c r="AG178" i="5"/>
  <c r="AH31" i="5"/>
  <c r="AG31" i="5"/>
  <c r="AH111" i="5"/>
  <c r="AG111" i="5"/>
  <c r="AH63" i="5"/>
  <c r="AG63" i="5"/>
  <c r="AH36" i="5"/>
  <c r="AG36" i="5"/>
  <c r="AH177" i="5"/>
  <c r="AG177" i="5"/>
  <c r="AH27" i="5"/>
  <c r="AG27" i="5"/>
  <c r="AH22" i="5"/>
  <c r="AG22" i="5"/>
  <c r="AH51" i="5"/>
  <c r="AG51" i="5"/>
  <c r="AH176" i="5"/>
  <c r="AG176" i="5"/>
  <c r="AH175" i="5"/>
  <c r="AG175" i="5"/>
  <c r="AH110" i="5"/>
  <c r="AG110" i="5"/>
  <c r="AH174" i="5"/>
  <c r="AG174" i="5"/>
  <c r="AH50" i="5"/>
  <c r="AG50" i="5"/>
  <c r="AH49" i="5"/>
  <c r="AG49" i="5"/>
  <c r="AH59" i="5"/>
  <c r="AG59" i="5"/>
  <c r="AH173" i="5"/>
  <c r="AG173" i="5"/>
  <c r="AH41" i="5"/>
  <c r="AG41" i="5"/>
  <c r="AH172" i="5"/>
  <c r="AG172" i="5"/>
  <c r="AH109" i="5"/>
  <c r="AG109" i="5"/>
  <c r="AH30" i="5"/>
  <c r="AG30" i="5"/>
  <c r="AH171" i="5"/>
  <c r="AG171" i="5"/>
  <c r="AH26" i="5"/>
  <c r="AG26" i="5"/>
  <c r="AH94" i="5"/>
  <c r="AG94" i="5"/>
  <c r="AH40" i="5"/>
  <c r="AG40" i="5"/>
  <c r="AH170" i="5"/>
  <c r="AG170" i="5"/>
  <c r="AH58" i="5"/>
  <c r="AG58" i="5"/>
  <c r="AH169" i="5"/>
  <c r="AG169" i="5"/>
  <c r="AH168" i="5"/>
  <c r="AG168" i="5"/>
  <c r="AH45" i="5"/>
  <c r="AG45" i="5"/>
  <c r="AH167" i="5"/>
  <c r="AG167" i="5"/>
  <c r="AH108" i="5"/>
  <c r="AG108" i="5"/>
  <c r="AH21" i="5"/>
  <c r="AG21" i="5"/>
  <c r="AH18" i="5"/>
  <c r="AG18" i="5"/>
  <c r="AH166" i="5"/>
  <c r="AG166" i="5"/>
  <c r="AH165" i="5"/>
  <c r="AG165" i="5"/>
  <c r="AH81" i="5"/>
  <c r="AG81" i="5"/>
  <c r="AH164" i="5"/>
  <c r="AG164" i="5"/>
  <c r="AH44" i="5"/>
  <c r="AG44" i="5"/>
  <c r="AH163" i="5"/>
  <c r="AG163" i="5"/>
  <c r="AH162" i="5"/>
  <c r="AG162" i="5"/>
  <c r="AH93" i="5"/>
  <c r="AG93" i="5"/>
  <c r="AH161" i="5"/>
  <c r="AG161" i="5"/>
  <c r="AH160" i="5"/>
  <c r="AG160" i="5"/>
  <c r="AH11" i="5"/>
  <c r="AG11" i="5"/>
  <c r="AH92" i="5"/>
  <c r="AG92" i="5"/>
  <c r="AH107" i="5"/>
  <c r="AG107" i="5"/>
  <c r="AH84" i="5"/>
  <c r="AG84" i="5"/>
  <c r="AH80" i="5"/>
  <c r="AG80" i="5"/>
  <c r="AH159" i="5"/>
  <c r="AG159" i="5"/>
  <c r="AH106" i="5"/>
  <c r="AG106" i="5"/>
  <c r="AH105" i="5"/>
  <c r="AG105" i="5"/>
  <c r="AH75" i="5"/>
  <c r="AG75" i="5"/>
  <c r="AH10" i="5"/>
  <c r="AG10" i="5"/>
  <c r="AH158" i="5"/>
  <c r="AG158" i="5"/>
  <c r="AH157" i="5"/>
  <c r="AG157" i="5"/>
  <c r="AH53" i="5"/>
  <c r="AG53" i="5"/>
  <c r="AH9" i="5"/>
  <c r="AG9" i="5"/>
  <c r="AH61" i="5"/>
  <c r="AG61" i="5"/>
  <c r="AH156" i="5"/>
  <c r="AG156" i="5"/>
  <c r="AH43" i="5"/>
  <c r="AG43" i="5"/>
  <c r="AH104" i="5"/>
  <c r="AG104" i="5"/>
  <c r="AH103" i="5"/>
  <c r="AG103" i="5"/>
  <c r="AH39" i="5"/>
  <c r="AG39" i="5"/>
  <c r="AH91" i="5"/>
  <c r="AG91" i="5"/>
  <c r="AH60" i="5"/>
  <c r="AG60" i="5"/>
  <c r="AH155" i="5"/>
  <c r="AG155" i="5"/>
  <c r="AH154" i="5"/>
  <c r="AG154" i="5"/>
  <c r="AH35" i="5"/>
  <c r="AG35" i="5"/>
  <c r="AH67" i="5"/>
  <c r="AG67" i="5"/>
  <c r="AH74" i="5"/>
  <c r="AG74" i="5"/>
  <c r="AH8" i="5"/>
  <c r="AG8" i="5"/>
  <c r="AH153" i="5"/>
  <c r="AG153" i="5"/>
  <c r="AH152" i="5"/>
  <c r="AG152" i="5"/>
  <c r="AH48" i="5"/>
  <c r="AG48" i="5"/>
  <c r="AH151" i="5"/>
  <c r="AG151" i="5"/>
  <c r="AH73" i="5"/>
  <c r="AG73" i="5"/>
  <c r="AH72" i="5"/>
  <c r="AG72" i="5"/>
  <c r="AH150" i="5"/>
  <c r="AG150" i="5"/>
  <c r="AH79" i="5"/>
  <c r="AG79" i="5"/>
  <c r="AH62" i="5"/>
  <c r="AG62" i="5"/>
  <c r="AH149" i="5"/>
  <c r="AG149" i="5"/>
  <c r="AH102" i="5"/>
  <c r="AG102" i="5"/>
  <c r="AH101" i="5"/>
  <c r="AG101" i="5"/>
  <c r="AH15" i="5"/>
  <c r="AG15" i="5"/>
  <c r="AH148" i="5"/>
  <c r="AG148" i="5"/>
  <c r="AH147" i="5"/>
  <c r="AG147" i="5"/>
  <c r="AH47" i="5"/>
  <c r="AG47" i="5"/>
  <c r="AH83" i="5"/>
  <c r="AG83" i="5"/>
  <c r="AH146" i="5"/>
  <c r="AG146" i="5"/>
  <c r="AH34" i="5"/>
  <c r="AG34" i="5"/>
  <c r="AH145" i="5"/>
  <c r="AG145" i="5"/>
  <c r="AH66" i="5"/>
  <c r="AG66" i="5"/>
  <c r="AH144" i="5"/>
  <c r="AG144" i="5"/>
  <c r="AH143" i="5"/>
  <c r="AG143" i="5"/>
  <c r="AH142" i="5"/>
  <c r="AG142" i="5"/>
  <c r="AH141" i="5"/>
  <c r="AG141" i="5"/>
  <c r="AH29" i="5"/>
  <c r="AG29" i="5"/>
  <c r="AH71" i="5"/>
  <c r="AG71" i="5"/>
  <c r="AH140" i="5"/>
  <c r="AG140" i="5"/>
  <c r="AH57" i="5"/>
  <c r="AG57" i="5"/>
  <c r="AH139" i="5"/>
  <c r="AG139" i="5"/>
  <c r="AH138" i="5"/>
  <c r="AG138" i="5"/>
  <c r="AH78" i="5"/>
  <c r="AG78" i="5"/>
  <c r="AH137" i="5"/>
  <c r="AG137" i="5"/>
  <c r="AH136" i="5"/>
  <c r="AG136" i="5"/>
  <c r="AH38" i="5"/>
  <c r="AG38" i="5"/>
  <c r="AH33" i="5"/>
  <c r="AG33" i="5"/>
  <c r="AH135" i="5"/>
  <c r="AG135" i="5"/>
  <c r="AH65" i="5"/>
  <c r="AG65" i="5"/>
  <c r="AH42" i="5"/>
  <c r="AG42" i="5"/>
  <c r="AH90" i="5"/>
  <c r="AG90" i="5"/>
  <c r="AH89" i="5"/>
  <c r="AG89" i="5"/>
  <c r="AH134" i="5"/>
  <c r="AG134" i="5"/>
  <c r="AH133" i="5"/>
  <c r="AG133" i="5"/>
  <c r="AH37" i="5"/>
  <c r="AG37" i="5"/>
  <c r="AH88" i="5"/>
  <c r="AG88" i="5"/>
  <c r="AH132" i="5"/>
  <c r="AG132" i="5"/>
  <c r="AH28" i="5"/>
  <c r="AG28" i="5"/>
  <c r="AH56" i="5"/>
  <c r="AG56" i="5"/>
  <c r="AH55" i="5"/>
  <c r="AG55" i="5"/>
  <c r="AH131" i="5"/>
  <c r="AG131" i="5"/>
  <c r="AH130" i="5"/>
  <c r="AG130" i="5"/>
  <c r="AH20" i="5"/>
  <c r="AG20" i="5"/>
  <c r="AH25" i="5"/>
  <c r="AG25" i="5"/>
  <c r="AH87" i="5"/>
  <c r="AG87" i="5"/>
  <c r="AH19" i="5"/>
  <c r="AG19" i="5"/>
  <c r="AH129" i="5"/>
  <c r="AG129" i="5"/>
  <c r="AH128" i="5"/>
  <c r="AG128" i="5"/>
  <c r="AH86" i="5"/>
  <c r="AG86" i="5"/>
  <c r="AH7" i="5"/>
  <c r="AG7" i="5"/>
  <c r="AH100" i="5"/>
  <c r="AG100" i="5"/>
  <c r="AH85" i="5"/>
  <c r="AG85" i="5"/>
  <c r="AH77" i="5"/>
  <c r="AG77" i="5"/>
  <c r="AH70" i="5"/>
  <c r="AG70" i="5"/>
  <c r="AH32" i="5"/>
  <c r="AG32" i="5"/>
  <c r="AH54" i="5"/>
  <c r="AG54" i="5"/>
  <c r="AH127" i="5"/>
  <c r="AG127" i="5"/>
  <c r="AH126" i="5"/>
  <c r="AG126" i="5"/>
  <c r="AH14" i="5"/>
  <c r="AG14" i="5"/>
  <c r="AH125" i="5"/>
  <c r="AG125" i="5"/>
  <c r="AH24" i="5"/>
  <c r="AG24" i="5"/>
  <c r="AH124" i="5"/>
  <c r="AG124" i="5"/>
  <c r="AH123" i="5"/>
  <c r="AG123" i="5"/>
  <c r="AH23" i="5"/>
  <c r="AG23" i="5"/>
  <c r="AH6" i="5"/>
  <c r="AG6" i="5"/>
  <c r="AH122" i="5"/>
  <c r="AG122" i="5"/>
  <c r="AH99" i="5"/>
  <c r="AG99" i="5"/>
  <c r="AH121" i="5"/>
  <c r="AG121" i="5"/>
  <c r="AH120" i="5"/>
  <c r="AG120" i="5"/>
  <c r="AH17" i="5"/>
  <c r="AG17" i="5"/>
  <c r="AH69" i="5"/>
  <c r="AG69" i="5"/>
  <c r="AH119" i="5"/>
  <c r="AG119" i="5"/>
  <c r="AH118" i="5"/>
  <c r="AG118" i="5"/>
  <c r="AH98" i="5"/>
  <c r="AG98" i="5"/>
  <c r="AH117" i="5"/>
  <c r="AG117" i="5"/>
  <c r="AH116" i="5"/>
  <c r="AG116" i="5"/>
  <c r="AH115" i="5"/>
  <c r="AG115" i="5"/>
  <c r="AH114" i="5"/>
  <c r="AG114" i="5"/>
  <c r="AH113" i="5"/>
  <c r="AG113" i="5"/>
  <c r="AH97" i="5"/>
  <c r="AG97" i="5"/>
  <c r="AH5" i="5"/>
  <c r="AG5" i="5"/>
  <c r="AH64" i="5"/>
  <c r="AG64" i="5"/>
  <c r="AH4" i="5"/>
  <c r="AG4" i="5"/>
  <c r="AH3" i="5"/>
  <c r="AG3" i="5"/>
  <c r="AH68" i="5"/>
  <c r="AG68" i="5"/>
  <c r="AF34" i="4"/>
  <c r="AF194" i="4"/>
  <c r="AF59" i="4"/>
  <c r="AF103" i="4"/>
  <c r="AF11" i="4"/>
  <c r="AF90" i="4"/>
  <c r="AF10" i="4"/>
  <c r="AF193" i="4"/>
  <c r="AF192" i="4"/>
  <c r="AF102" i="4"/>
  <c r="AF115" i="4"/>
  <c r="AF55" i="4"/>
  <c r="AF15" i="4"/>
  <c r="AF191" i="4"/>
  <c r="AF190" i="4"/>
  <c r="AF189" i="4"/>
  <c r="AF188" i="4"/>
  <c r="AF72" i="4"/>
  <c r="AF71" i="4"/>
  <c r="AF9" i="4"/>
  <c r="AF187" i="4"/>
  <c r="AF114" i="4"/>
  <c r="AF186" i="4"/>
  <c r="AF185" i="4"/>
  <c r="AF85" i="4"/>
  <c r="AF63" i="4"/>
  <c r="AF101" i="4"/>
  <c r="AF21" i="4"/>
  <c r="AF184" i="4"/>
  <c r="AF65" i="4"/>
  <c r="AF33" i="4"/>
  <c r="AF183" i="4"/>
  <c r="AF24" i="4"/>
  <c r="AF49" i="4"/>
  <c r="AF40" i="4"/>
  <c r="AF182" i="4"/>
  <c r="AF100" i="4"/>
  <c r="AF113" i="4"/>
  <c r="AF89" i="4"/>
  <c r="AF80" i="4"/>
  <c r="AF30" i="4"/>
  <c r="AF84" i="4"/>
  <c r="AF181" i="4"/>
  <c r="AF44" i="4"/>
  <c r="AF83" i="4"/>
  <c r="AF180" i="4"/>
  <c r="AF39" i="4"/>
  <c r="AF112" i="4"/>
  <c r="AF20" i="4"/>
  <c r="AF179" i="4"/>
  <c r="AF48" i="4"/>
  <c r="AF178" i="4"/>
  <c r="AF54" i="4"/>
  <c r="AF177" i="4"/>
  <c r="AF111" i="4"/>
  <c r="AF43" i="4"/>
  <c r="AF176" i="4"/>
  <c r="AF110" i="4"/>
  <c r="AF38" i="4"/>
  <c r="AF19" i="4"/>
  <c r="AF175" i="4"/>
  <c r="AF174" i="4"/>
  <c r="AF99" i="4"/>
  <c r="AF173" i="4"/>
  <c r="AF70" i="4"/>
  <c r="AF172" i="4"/>
  <c r="AF171" i="4"/>
  <c r="AF170" i="4"/>
  <c r="AF169" i="4"/>
  <c r="AF79" i="4"/>
  <c r="AF8" i="4"/>
  <c r="AF14" i="4"/>
  <c r="AF168" i="4"/>
  <c r="AF69" i="4"/>
  <c r="AF109" i="4"/>
  <c r="AF167" i="4"/>
  <c r="AF166" i="4"/>
  <c r="AF98" i="4"/>
  <c r="AF58" i="4"/>
  <c r="AF12" i="4"/>
  <c r="AF108" i="4"/>
  <c r="AF165" i="4"/>
  <c r="AF57" i="4"/>
  <c r="AF29" i="4"/>
  <c r="AF50" i="4"/>
  <c r="AF164" i="4"/>
  <c r="AF37" i="4"/>
  <c r="AF97" i="4"/>
  <c r="AF163" i="4"/>
  <c r="AF64" i="4"/>
  <c r="AF96" i="4"/>
  <c r="AF53" i="4"/>
  <c r="AF162" i="4"/>
  <c r="AF161" i="4"/>
  <c r="AF32" i="4"/>
  <c r="AF88" i="4"/>
  <c r="AF68" i="4"/>
  <c r="AF7" i="4"/>
  <c r="AF160" i="4"/>
  <c r="AF159" i="4"/>
  <c r="AF47" i="4"/>
  <c r="AF158" i="4"/>
  <c r="AF78" i="4"/>
  <c r="AF157" i="4"/>
  <c r="AF156" i="4"/>
  <c r="AF77" i="4"/>
  <c r="AF56" i="4"/>
  <c r="AF155" i="4"/>
  <c r="AF154" i="4"/>
  <c r="AF153" i="4"/>
  <c r="AF13" i="4"/>
  <c r="AF152" i="4"/>
  <c r="AF151" i="4"/>
  <c r="AF42" i="4"/>
  <c r="AF150" i="4"/>
  <c r="AF149" i="4"/>
  <c r="AF46" i="4"/>
  <c r="AF148" i="4"/>
  <c r="AF147" i="4"/>
  <c r="AF146" i="4"/>
  <c r="AF145" i="4"/>
  <c r="AF107" i="4"/>
  <c r="AF144" i="4"/>
  <c r="AF28" i="4"/>
  <c r="AF87" i="4"/>
  <c r="AF143" i="4"/>
  <c r="AF62" i="4"/>
  <c r="AF106" i="4"/>
  <c r="AF95" i="4"/>
  <c r="AF105" i="4"/>
  <c r="AF142" i="4"/>
  <c r="AF141" i="4"/>
  <c r="AF36" i="4"/>
  <c r="AF41" i="4"/>
  <c r="AF140" i="4"/>
  <c r="AF139" i="4"/>
  <c r="AF60" i="4"/>
  <c r="AF82" i="4"/>
  <c r="AF76" i="4"/>
  <c r="AF138" i="4"/>
  <c r="AF137" i="4"/>
  <c r="AF31" i="4"/>
  <c r="AF75" i="4"/>
  <c r="AF136" i="4"/>
  <c r="AF35" i="4"/>
  <c r="AF52" i="4"/>
  <c r="AF51" i="4"/>
  <c r="AF135" i="4"/>
  <c r="AF134" i="4"/>
  <c r="AF27" i="4"/>
  <c r="AF26" i="4"/>
  <c r="AF94" i="4"/>
  <c r="AF45" i="4"/>
  <c r="AF133" i="4"/>
  <c r="AF132" i="4"/>
  <c r="AF93" i="4"/>
  <c r="AF6" i="4"/>
  <c r="AF74" i="4"/>
  <c r="AF131" i="4"/>
  <c r="AF73" i="4"/>
  <c r="AF81" i="4"/>
  <c r="AF23" i="4"/>
  <c r="AF61" i="4"/>
  <c r="AF130" i="4"/>
  <c r="AF129" i="4"/>
  <c r="AF25" i="4"/>
  <c r="AF128" i="4"/>
  <c r="AF22" i="4"/>
  <c r="AF104" i="4"/>
  <c r="AF127" i="4"/>
  <c r="AF16" i="4"/>
  <c r="AF18" i="4"/>
  <c r="AF126" i="4"/>
  <c r="AF92" i="4"/>
  <c r="AF125" i="4"/>
  <c r="AF124" i="4"/>
  <c r="AF17" i="4"/>
  <c r="AF86" i="4"/>
  <c r="AF123" i="4"/>
  <c r="AF122" i="4"/>
  <c r="AF121" i="4"/>
  <c r="AF120" i="4"/>
  <c r="AF119" i="4"/>
  <c r="AF118" i="4"/>
  <c r="AF117" i="4"/>
  <c r="AF116" i="4"/>
  <c r="AF91" i="4"/>
  <c r="AF5" i="4"/>
  <c r="AF67" i="4"/>
  <c r="AF4" i="4"/>
  <c r="AF3" i="4"/>
  <c r="AF66" i="4"/>
  <c r="AE34" i="4"/>
  <c r="AE194" i="4"/>
  <c r="AE59" i="4"/>
  <c r="AE103" i="4"/>
  <c r="AE11" i="4"/>
  <c r="AE90" i="4"/>
  <c r="AE10" i="4"/>
  <c r="AE193" i="4"/>
  <c r="AE192" i="4"/>
  <c r="AE102" i="4"/>
  <c r="AE115" i="4"/>
  <c r="AE55" i="4"/>
  <c r="AE15" i="4"/>
  <c r="AE191" i="4"/>
  <c r="AE190" i="4"/>
  <c r="AE189" i="4"/>
  <c r="AE188" i="4"/>
  <c r="AE72" i="4"/>
  <c r="AE71" i="4"/>
  <c r="AE9" i="4"/>
  <c r="AE187" i="4"/>
  <c r="AE114" i="4"/>
  <c r="AE186" i="4"/>
  <c r="AE185" i="4"/>
  <c r="AE85" i="4"/>
  <c r="AE63" i="4"/>
  <c r="AE101" i="4"/>
  <c r="AE21" i="4"/>
  <c r="AE184" i="4"/>
  <c r="AE65" i="4"/>
  <c r="AE33" i="4"/>
  <c r="AE183" i="4"/>
  <c r="AE24" i="4"/>
  <c r="AE49" i="4"/>
  <c r="AE40" i="4"/>
  <c r="AE182" i="4"/>
  <c r="AE100" i="4"/>
  <c r="AE113" i="4"/>
  <c r="AE89" i="4"/>
  <c r="AE80" i="4"/>
  <c r="AE30" i="4"/>
  <c r="AE84" i="4"/>
  <c r="AE181" i="4"/>
  <c r="AE44" i="4"/>
  <c r="AE83" i="4"/>
  <c r="AE180" i="4"/>
  <c r="AE39" i="4"/>
  <c r="AE112" i="4"/>
  <c r="AE20" i="4"/>
  <c r="AE179" i="4"/>
  <c r="AE48" i="4"/>
  <c r="AE178" i="4"/>
  <c r="AE54" i="4"/>
  <c r="AE177" i="4"/>
  <c r="AE111" i="4"/>
  <c r="AE43" i="4"/>
  <c r="AE176" i="4"/>
  <c r="AE110" i="4"/>
  <c r="AE38" i="4"/>
  <c r="AE19" i="4"/>
  <c r="AE175" i="4"/>
  <c r="AE174" i="4"/>
  <c r="AE99" i="4"/>
  <c r="AE173" i="4"/>
  <c r="AE70" i="4"/>
  <c r="AE172" i="4"/>
  <c r="AE171" i="4"/>
  <c r="AE170" i="4"/>
  <c r="AE169" i="4"/>
  <c r="AE79" i="4"/>
  <c r="AE8" i="4"/>
  <c r="AE14" i="4"/>
  <c r="AE168" i="4"/>
  <c r="AE69" i="4"/>
  <c r="AE109" i="4"/>
  <c r="AE167" i="4"/>
  <c r="AE166" i="4"/>
  <c r="AE98" i="4"/>
  <c r="AE58" i="4"/>
  <c r="AE12" i="4"/>
  <c r="AE108" i="4"/>
  <c r="AE165" i="4"/>
  <c r="AE57" i="4"/>
  <c r="AE29" i="4"/>
  <c r="AE50" i="4"/>
  <c r="AE164" i="4"/>
  <c r="AE37" i="4"/>
  <c r="AE97" i="4"/>
  <c r="AE163" i="4"/>
  <c r="AE64" i="4"/>
  <c r="AE96" i="4"/>
  <c r="AE53" i="4"/>
  <c r="AE162" i="4"/>
  <c r="AE161" i="4"/>
  <c r="AE32" i="4"/>
  <c r="AE88" i="4"/>
  <c r="AE68" i="4"/>
  <c r="AE7" i="4"/>
  <c r="AE160" i="4"/>
  <c r="AE159" i="4"/>
  <c r="AE47" i="4"/>
  <c r="AE158" i="4"/>
  <c r="AE78" i="4"/>
  <c r="AE157" i="4"/>
  <c r="AE156" i="4"/>
  <c r="AE77" i="4"/>
  <c r="AE56" i="4"/>
  <c r="AE155" i="4"/>
  <c r="AE154" i="4"/>
  <c r="AE153" i="4"/>
  <c r="AE13" i="4"/>
  <c r="AE152" i="4"/>
  <c r="AE151" i="4"/>
  <c r="AE42" i="4"/>
  <c r="AE150" i="4"/>
  <c r="AE149" i="4"/>
  <c r="AE46" i="4"/>
  <c r="AE148" i="4"/>
  <c r="AE147" i="4"/>
  <c r="AE146" i="4"/>
  <c r="AE145" i="4"/>
  <c r="AE107" i="4"/>
  <c r="AE144" i="4"/>
  <c r="AE28" i="4"/>
  <c r="AE87" i="4"/>
  <c r="AE143" i="4"/>
  <c r="AE62" i="4"/>
  <c r="AE106" i="4"/>
  <c r="AE95" i="4"/>
  <c r="AE105" i="4"/>
  <c r="AE142" i="4"/>
  <c r="AE141" i="4"/>
  <c r="AE36" i="4"/>
  <c r="AE41" i="4"/>
  <c r="AE140" i="4"/>
  <c r="AE139" i="4"/>
  <c r="AE60" i="4"/>
  <c r="AE82" i="4"/>
  <c r="AE76" i="4"/>
  <c r="AE138" i="4"/>
  <c r="AE137" i="4"/>
  <c r="AE31" i="4"/>
  <c r="AE75" i="4"/>
  <c r="AE136" i="4"/>
  <c r="AE35" i="4"/>
  <c r="AE52" i="4"/>
  <c r="AE51" i="4"/>
  <c r="AE135" i="4"/>
  <c r="AE134" i="4"/>
  <c r="AE27" i="4"/>
  <c r="AE26" i="4"/>
  <c r="AE94" i="4"/>
  <c r="AE45" i="4"/>
  <c r="AE133" i="4"/>
  <c r="AE132" i="4"/>
  <c r="AE93" i="4"/>
  <c r="AE6" i="4"/>
  <c r="AE74" i="4"/>
  <c r="AE131" i="4"/>
  <c r="AE73" i="4"/>
  <c r="AE81" i="4"/>
  <c r="AE23" i="4"/>
  <c r="AE61" i="4"/>
  <c r="AE130" i="4"/>
  <c r="AE129" i="4"/>
  <c r="AE25" i="4"/>
  <c r="AE128" i="4"/>
  <c r="AE22" i="4"/>
  <c r="AE104" i="4"/>
  <c r="AE127" i="4"/>
  <c r="AE16" i="4"/>
  <c r="AE18" i="4"/>
  <c r="AE126" i="4"/>
  <c r="AE92" i="4"/>
  <c r="AE125" i="4"/>
  <c r="AE124" i="4"/>
  <c r="AE17" i="4"/>
  <c r="AE86" i="4"/>
  <c r="AE123" i="4"/>
  <c r="AE122" i="4"/>
  <c r="AE121" i="4"/>
  <c r="AE120" i="4"/>
  <c r="AE119" i="4"/>
  <c r="AE118" i="4"/>
  <c r="AE117" i="4"/>
  <c r="AE116" i="4"/>
  <c r="AE91" i="4"/>
  <c r="AE5" i="4"/>
  <c r="AE67" i="4"/>
  <c r="AE4" i="4"/>
  <c r="AE3" i="4"/>
  <c r="AE66" i="4"/>
  <c r="AD75" i="2"/>
  <c r="AD107" i="2"/>
  <c r="AD55" i="2"/>
  <c r="AD106" i="2"/>
  <c r="AD15" i="2"/>
  <c r="AD71" i="2"/>
  <c r="AD14" i="2"/>
  <c r="AD124" i="2"/>
  <c r="AD194" i="2"/>
  <c r="AD54" i="2"/>
  <c r="AD193" i="2"/>
  <c r="AD60" i="2"/>
  <c r="AD13" i="2"/>
  <c r="AD192" i="2"/>
  <c r="AD89" i="2"/>
  <c r="AD191" i="2"/>
  <c r="AD190" i="2"/>
  <c r="AD189" i="2"/>
  <c r="AD67" i="2"/>
  <c r="AD12" i="2"/>
  <c r="AD188" i="2"/>
  <c r="AD123" i="2"/>
  <c r="AD95" i="2"/>
  <c r="AD187" i="2"/>
  <c r="AD94" i="2"/>
  <c r="AD66" i="2"/>
  <c r="AD186" i="2"/>
  <c r="AD18" i="2"/>
  <c r="AD185" i="2"/>
  <c r="AD72" i="2"/>
  <c r="AD59" i="2"/>
  <c r="AD184" i="2"/>
  <c r="AD24" i="2"/>
  <c r="AD23" i="2"/>
  <c r="AD65" i="2"/>
  <c r="AD122" i="2"/>
  <c r="AD105" i="2"/>
  <c r="AD183" i="2"/>
  <c r="AD34" i="2"/>
  <c r="AD182" i="2"/>
  <c r="AD36" i="2"/>
  <c r="AD181" i="2"/>
  <c r="AD111" i="2"/>
  <c r="AD180" i="2"/>
  <c r="AD179" i="2"/>
  <c r="AD178" i="2"/>
  <c r="AD33" i="2"/>
  <c r="AD83" i="2"/>
  <c r="AD21" i="2"/>
  <c r="AD46" i="2"/>
  <c r="AD32" i="2"/>
  <c r="AD177" i="2"/>
  <c r="AD48" i="2"/>
  <c r="AD176" i="2"/>
  <c r="AD175" i="2"/>
  <c r="AD37" i="2"/>
  <c r="AD174" i="2"/>
  <c r="AD173" i="2"/>
  <c r="AD31" i="2"/>
  <c r="AD17" i="2"/>
  <c r="AD172" i="2"/>
  <c r="AD171" i="2"/>
  <c r="AD88" i="2"/>
  <c r="AD121" i="2"/>
  <c r="AD82" i="2"/>
  <c r="AD170" i="2"/>
  <c r="AD169" i="2"/>
  <c r="AD168" i="2"/>
  <c r="AD167" i="2"/>
  <c r="AD64" i="2"/>
  <c r="AD11" i="2"/>
  <c r="AD22" i="2"/>
  <c r="AD104" i="2"/>
  <c r="AD93" i="2"/>
  <c r="AD92" i="2"/>
  <c r="AD166" i="2"/>
  <c r="AD165" i="2"/>
  <c r="AD103" i="2"/>
  <c r="AD63" i="2"/>
  <c r="AD10" i="2"/>
  <c r="AD102" i="2"/>
  <c r="AD120" i="2"/>
  <c r="AD53" i="2"/>
  <c r="AD9" i="2"/>
  <c r="AD81" i="2"/>
  <c r="AD164" i="2"/>
  <c r="AD52" i="2"/>
  <c r="AD119" i="2"/>
  <c r="AD110" i="2"/>
  <c r="AD163" i="2"/>
  <c r="AD74" i="2"/>
  <c r="AD42" i="2"/>
  <c r="AD162" i="2"/>
  <c r="AD161" i="2"/>
  <c r="AD35" i="2"/>
  <c r="AD101" i="2"/>
  <c r="AD109" i="2"/>
  <c r="AD8" i="2"/>
  <c r="AD100" i="2"/>
  <c r="AD160" i="2"/>
  <c r="AD45" i="2"/>
  <c r="AD159" i="2"/>
  <c r="AD80" i="2"/>
  <c r="AD158" i="2"/>
  <c r="AD157" i="2"/>
  <c r="AD91" i="2"/>
  <c r="AD70" i="2"/>
  <c r="AD58" i="2"/>
  <c r="AD156" i="2"/>
  <c r="AD155" i="2"/>
  <c r="AD16" i="2"/>
  <c r="AD118" i="2"/>
  <c r="AD154" i="2"/>
  <c r="AD79" i="2"/>
  <c r="AD117" i="2"/>
  <c r="AD116" i="2"/>
  <c r="AD29" i="2"/>
  <c r="AD153" i="2"/>
  <c r="AD152" i="2"/>
  <c r="AD115" i="2"/>
  <c r="AD151" i="2"/>
  <c r="AD150" i="2"/>
  <c r="AD87" i="2"/>
  <c r="AD50" i="2"/>
  <c r="AD69" i="2"/>
  <c r="AD114" i="2"/>
  <c r="AD68" i="2"/>
  <c r="AD99" i="2"/>
  <c r="AD98" i="2"/>
  <c r="AD86" i="2"/>
  <c r="AD149" i="2"/>
  <c r="AD148" i="2"/>
  <c r="AD41" i="2"/>
  <c r="AD40" i="2"/>
  <c r="AD147" i="2"/>
  <c r="AD146" i="2"/>
  <c r="AD44" i="2"/>
  <c r="AD85" i="2"/>
  <c r="AD51" i="2"/>
  <c r="AD145" i="2"/>
  <c r="AD144" i="2"/>
  <c r="AD30" i="2"/>
  <c r="AD78" i="2"/>
  <c r="AD143" i="2"/>
  <c r="AD39" i="2"/>
  <c r="AD38" i="2"/>
  <c r="AD47" i="2"/>
  <c r="AD108" i="2"/>
  <c r="AD142" i="2"/>
  <c r="AD49" i="2"/>
  <c r="AD57" i="2"/>
  <c r="AD113" i="2"/>
  <c r="AD28" i="2"/>
  <c r="AD141" i="2"/>
  <c r="AD140" i="2"/>
  <c r="AD73" i="2"/>
  <c r="AD20" i="2"/>
  <c r="AD62" i="2"/>
  <c r="AD84" i="2"/>
  <c r="AD97" i="2"/>
  <c r="AD56" i="2"/>
  <c r="AD27" i="2"/>
  <c r="AD43" i="2"/>
  <c r="AD139" i="2"/>
  <c r="AD138" i="2"/>
  <c r="AD19" i="2"/>
  <c r="AD137" i="2"/>
  <c r="AD7" i="2"/>
  <c r="AD136" i="2"/>
  <c r="AD135" i="2"/>
  <c r="AD26" i="2"/>
  <c r="AD6" i="2"/>
  <c r="AD134" i="2"/>
  <c r="AD77" i="2"/>
  <c r="AD133" i="2"/>
  <c r="AD132" i="2"/>
  <c r="AD25" i="2"/>
  <c r="AD131" i="2"/>
  <c r="AD130" i="2"/>
  <c r="AD129" i="2"/>
  <c r="AD128" i="2"/>
  <c r="AD127" i="2"/>
  <c r="AD126" i="2"/>
  <c r="AD76" i="2"/>
  <c r="AD96" i="2"/>
  <c r="AD112" i="2"/>
  <c r="AD90" i="2"/>
  <c r="AD5" i="2"/>
  <c r="AD61" i="2"/>
  <c r="AD4" i="2"/>
  <c r="AD3" i="2"/>
  <c r="AD125" i="2"/>
  <c r="AC75" i="2"/>
  <c r="AC107" i="2"/>
  <c r="AC55" i="2"/>
  <c r="AC106" i="2"/>
  <c r="AC15" i="2"/>
  <c r="AC71" i="2"/>
  <c r="AC14" i="2"/>
  <c r="AC124" i="2"/>
  <c r="AC194" i="2"/>
  <c r="AC54" i="2"/>
  <c r="AC193" i="2"/>
  <c r="AC60" i="2"/>
  <c r="AC13" i="2"/>
  <c r="AC192" i="2"/>
  <c r="AC89" i="2"/>
  <c r="AC191" i="2"/>
  <c r="AC190" i="2"/>
  <c r="AC189" i="2"/>
  <c r="AC67" i="2"/>
  <c r="AC12" i="2"/>
  <c r="AC188" i="2"/>
  <c r="AC123" i="2"/>
  <c r="AC95" i="2"/>
  <c r="AC187" i="2"/>
  <c r="AC94" i="2"/>
  <c r="AC66" i="2"/>
  <c r="AC186" i="2"/>
  <c r="AC18" i="2"/>
  <c r="AC185" i="2"/>
  <c r="AC72" i="2"/>
  <c r="AC59" i="2"/>
  <c r="AC184" i="2"/>
  <c r="AC24" i="2"/>
  <c r="AC23" i="2"/>
  <c r="AC65" i="2"/>
  <c r="AC122" i="2"/>
  <c r="AC105" i="2"/>
  <c r="AC183" i="2"/>
  <c r="AC34" i="2"/>
  <c r="AC182" i="2"/>
  <c r="AC36" i="2"/>
  <c r="AC181" i="2"/>
  <c r="AC111" i="2"/>
  <c r="AC180" i="2"/>
  <c r="AC179" i="2"/>
  <c r="AC178" i="2"/>
  <c r="AC33" i="2"/>
  <c r="AC83" i="2"/>
  <c r="AC21" i="2"/>
  <c r="AC46" i="2"/>
  <c r="AC32" i="2"/>
  <c r="AC177" i="2"/>
  <c r="AC48" i="2"/>
  <c r="AC176" i="2"/>
  <c r="AC175" i="2"/>
  <c r="AC37" i="2"/>
  <c r="AC174" i="2"/>
  <c r="AC173" i="2"/>
  <c r="AC31" i="2"/>
  <c r="AC17" i="2"/>
  <c r="AC172" i="2"/>
  <c r="AC171" i="2"/>
  <c r="AC88" i="2"/>
  <c r="AC121" i="2"/>
  <c r="AC82" i="2"/>
  <c r="AC170" i="2"/>
  <c r="AC169" i="2"/>
  <c r="AC168" i="2"/>
  <c r="AC167" i="2"/>
  <c r="AC64" i="2"/>
  <c r="AC11" i="2"/>
  <c r="AC22" i="2"/>
  <c r="AC104" i="2"/>
  <c r="AC93" i="2"/>
  <c r="AC92" i="2"/>
  <c r="AC166" i="2"/>
  <c r="AC165" i="2"/>
  <c r="AC103" i="2"/>
  <c r="AC63" i="2"/>
  <c r="AC10" i="2"/>
  <c r="AC102" i="2"/>
  <c r="AC120" i="2"/>
  <c r="AC53" i="2"/>
  <c r="AC9" i="2"/>
  <c r="AC81" i="2"/>
  <c r="AC164" i="2"/>
  <c r="AC52" i="2"/>
  <c r="AC119" i="2"/>
  <c r="AC110" i="2"/>
  <c r="AC163" i="2"/>
  <c r="AC74" i="2"/>
  <c r="AC42" i="2"/>
  <c r="AC162" i="2"/>
  <c r="AC161" i="2"/>
  <c r="AC35" i="2"/>
  <c r="AC101" i="2"/>
  <c r="AC109" i="2"/>
  <c r="AC8" i="2"/>
  <c r="AC100" i="2"/>
  <c r="AC160" i="2"/>
  <c r="AC45" i="2"/>
  <c r="AC159" i="2"/>
  <c r="AC80" i="2"/>
  <c r="AC158" i="2"/>
  <c r="AC157" i="2"/>
  <c r="AC91" i="2"/>
  <c r="AC70" i="2"/>
  <c r="AC58" i="2"/>
  <c r="AC156" i="2"/>
  <c r="AC155" i="2"/>
  <c r="AC16" i="2"/>
  <c r="AC118" i="2"/>
  <c r="AC154" i="2"/>
  <c r="AC79" i="2"/>
  <c r="AC117" i="2"/>
  <c r="AC116" i="2"/>
  <c r="AC29" i="2"/>
  <c r="AC153" i="2"/>
  <c r="AC152" i="2"/>
  <c r="AC115" i="2"/>
  <c r="AC151" i="2"/>
  <c r="AC150" i="2"/>
  <c r="AC87" i="2"/>
  <c r="AC50" i="2"/>
  <c r="AC69" i="2"/>
  <c r="AC114" i="2"/>
  <c r="AC68" i="2"/>
  <c r="AC99" i="2"/>
  <c r="AC98" i="2"/>
  <c r="AC86" i="2"/>
  <c r="AC149" i="2"/>
  <c r="AC148" i="2"/>
  <c r="AC41" i="2"/>
  <c r="AC40" i="2"/>
  <c r="AC147" i="2"/>
  <c r="AC146" i="2"/>
  <c r="AC44" i="2"/>
  <c r="AC85" i="2"/>
  <c r="AC51" i="2"/>
  <c r="AC145" i="2"/>
  <c r="AC144" i="2"/>
  <c r="AC30" i="2"/>
  <c r="AC78" i="2"/>
  <c r="AC143" i="2"/>
  <c r="AC39" i="2"/>
  <c r="AC38" i="2"/>
  <c r="AC47" i="2"/>
  <c r="AC108" i="2"/>
  <c r="AC142" i="2"/>
  <c r="AC49" i="2"/>
  <c r="AC57" i="2"/>
  <c r="AC113" i="2"/>
  <c r="AC28" i="2"/>
  <c r="AC141" i="2"/>
  <c r="AC140" i="2"/>
  <c r="AC73" i="2"/>
  <c r="AC20" i="2"/>
  <c r="AC62" i="2"/>
  <c r="AC84" i="2"/>
  <c r="AC97" i="2"/>
  <c r="AC56" i="2"/>
  <c r="AC27" i="2"/>
  <c r="AC43" i="2"/>
  <c r="AC139" i="2"/>
  <c r="AC138" i="2"/>
  <c r="AC19" i="2"/>
  <c r="AC137" i="2"/>
  <c r="AC7" i="2"/>
  <c r="AC136" i="2"/>
  <c r="AC135" i="2"/>
  <c r="AC26" i="2"/>
  <c r="AC6" i="2"/>
  <c r="AC134" i="2"/>
  <c r="AC77" i="2"/>
  <c r="AC133" i="2"/>
  <c r="AC132" i="2"/>
  <c r="AC25" i="2"/>
  <c r="AC131" i="2"/>
  <c r="AC130" i="2"/>
  <c r="AC129" i="2"/>
  <c r="AC128" i="2"/>
  <c r="AC127" i="2"/>
  <c r="AC126" i="2"/>
  <c r="AC76" i="2"/>
  <c r="AC96" i="2"/>
  <c r="AC112" i="2"/>
  <c r="AC90" i="2"/>
  <c r="AC5" i="2"/>
  <c r="AC61" i="2"/>
  <c r="AC4" i="2"/>
  <c r="AC3" i="2"/>
  <c r="AC125" i="2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H75" i="1" l="1"/>
  <c r="AH60" i="1"/>
  <c r="AH48" i="1"/>
  <c r="AH67" i="1"/>
  <c r="AH5" i="1"/>
  <c r="AH61" i="1"/>
  <c r="AH6" i="1"/>
  <c r="AH195" i="1"/>
  <c r="AH194" i="1"/>
  <c r="AH101" i="1"/>
  <c r="AH111" i="1"/>
  <c r="AH80" i="1"/>
  <c r="AH12" i="1"/>
  <c r="AH68" i="1"/>
  <c r="AH58" i="1"/>
  <c r="AH108" i="1"/>
  <c r="AH193" i="1"/>
  <c r="AH51" i="1"/>
  <c r="AH105" i="1"/>
  <c r="AH17" i="1"/>
  <c r="AH192" i="1"/>
  <c r="AH191" i="1"/>
  <c r="AH57" i="1"/>
  <c r="AH190" i="1"/>
  <c r="AH98" i="1"/>
  <c r="AH56" i="1"/>
  <c r="AH189" i="1"/>
  <c r="AH30" i="1"/>
  <c r="AH78" i="1"/>
  <c r="AH76" i="1"/>
  <c r="AH32" i="1"/>
  <c r="AH188" i="1"/>
  <c r="AH24" i="1"/>
  <c r="AH19" i="1"/>
  <c r="AH187" i="1"/>
  <c r="AH186" i="1"/>
  <c r="AH100" i="1"/>
  <c r="AH125" i="1"/>
  <c r="AH34" i="1"/>
  <c r="AH185" i="1"/>
  <c r="AH69" i="1"/>
  <c r="AH184" i="1"/>
  <c r="AH183" i="1"/>
  <c r="AH182" i="1"/>
  <c r="AH181" i="1"/>
  <c r="AH180" i="1"/>
  <c r="AH31" i="1"/>
  <c r="AH64" i="1"/>
  <c r="AH23" i="1"/>
  <c r="AH49" i="1"/>
  <c r="AH42" i="1"/>
  <c r="AH116" i="1"/>
  <c r="AH44" i="1"/>
  <c r="AH179" i="1"/>
  <c r="AH178" i="1"/>
  <c r="AH37" i="1"/>
  <c r="AH177" i="1"/>
  <c r="AH176" i="1"/>
  <c r="AH25" i="1"/>
  <c r="AH27" i="1"/>
  <c r="AH175" i="1"/>
  <c r="AH124" i="1"/>
  <c r="AH74" i="1"/>
  <c r="AH174" i="1"/>
  <c r="AH77" i="1"/>
  <c r="AH66" i="1"/>
  <c r="AH173" i="1"/>
  <c r="AH172" i="1"/>
  <c r="AH171" i="1"/>
  <c r="AH123" i="1"/>
  <c r="AH18" i="1"/>
  <c r="AH7" i="1"/>
  <c r="AH122" i="1"/>
  <c r="AH103" i="1"/>
  <c r="AH85" i="1"/>
  <c r="AH170" i="1"/>
  <c r="AH112" i="1"/>
  <c r="AH88" i="1"/>
  <c r="AH46" i="1"/>
  <c r="AH10" i="1"/>
  <c r="AH107" i="1"/>
  <c r="AH169" i="1"/>
  <c r="AH168" i="1"/>
  <c r="AH22" i="1"/>
  <c r="AH167" i="1"/>
  <c r="AH110" i="1"/>
  <c r="AH40" i="1"/>
  <c r="AH166" i="1"/>
  <c r="AH121" i="1"/>
  <c r="AH165" i="1"/>
  <c r="AH95" i="1"/>
  <c r="AH43" i="1"/>
  <c r="AH164" i="1"/>
  <c r="AH163" i="1"/>
  <c r="AH21" i="1"/>
  <c r="AH59" i="1"/>
  <c r="AH162" i="1"/>
  <c r="AH47" i="1"/>
  <c r="AH73" i="1"/>
  <c r="AH161" i="1"/>
  <c r="AH39" i="1"/>
  <c r="AH160" i="1"/>
  <c r="AH92" i="1"/>
  <c r="AH159" i="1"/>
  <c r="AH158" i="1"/>
  <c r="AH120" i="1"/>
  <c r="AH53" i="1"/>
  <c r="AH94" i="1"/>
  <c r="AH157" i="1"/>
  <c r="AH156" i="1"/>
  <c r="AH38" i="1"/>
  <c r="AH82" i="1"/>
  <c r="AH155" i="1"/>
  <c r="AH91" i="1"/>
  <c r="AH115" i="1"/>
  <c r="AH104" i="1"/>
  <c r="AH29" i="1"/>
  <c r="AH154" i="1"/>
  <c r="AH153" i="1"/>
  <c r="AH119" i="1"/>
  <c r="AH152" i="1"/>
  <c r="AH151" i="1"/>
  <c r="AH83" i="1"/>
  <c r="AH118" i="1"/>
  <c r="AH63" i="1"/>
  <c r="AH52" i="1"/>
  <c r="AH99" i="1"/>
  <c r="AH113" i="1"/>
  <c r="AH87" i="1"/>
  <c r="AH90" i="1"/>
  <c r="AH150" i="1"/>
  <c r="AH149" i="1"/>
  <c r="AH26" i="1"/>
  <c r="AH97" i="1"/>
  <c r="AH109" i="1"/>
  <c r="AH148" i="1"/>
  <c r="AH70" i="1"/>
  <c r="AH102" i="1"/>
  <c r="AH62" i="1"/>
  <c r="AH147" i="1"/>
  <c r="AH146" i="1"/>
  <c r="AH33" i="1"/>
  <c r="AH79" i="1"/>
  <c r="AH145" i="1"/>
  <c r="AH36" i="1"/>
  <c r="AH41" i="1"/>
  <c r="AH54" i="1"/>
  <c r="AH144" i="1"/>
  <c r="AH143" i="1"/>
  <c r="AH96" i="1"/>
  <c r="AH114" i="1"/>
  <c r="AH142" i="1"/>
  <c r="AH16" i="1"/>
  <c r="AH141" i="1"/>
  <c r="AH106" i="1"/>
  <c r="AH140" i="1"/>
  <c r="AH20" i="1"/>
  <c r="AH50" i="1"/>
  <c r="AH84" i="1"/>
  <c r="AH71" i="1"/>
  <c r="AH86" i="1"/>
  <c r="AH35" i="1"/>
  <c r="AH55" i="1"/>
  <c r="AH89" i="1"/>
  <c r="AH139" i="1"/>
  <c r="AH9" i="1"/>
  <c r="AH138" i="1"/>
  <c r="AH11" i="1"/>
  <c r="AH137" i="1"/>
  <c r="AH136" i="1"/>
  <c r="AH28" i="1"/>
  <c r="AH14" i="1"/>
  <c r="AH135" i="1"/>
  <c r="AH81" i="1"/>
  <c r="AH134" i="1"/>
  <c r="AH133" i="1"/>
  <c r="AH15" i="1"/>
  <c r="AH132" i="1"/>
  <c r="AH131" i="1"/>
  <c r="AH130" i="1"/>
  <c r="AH129" i="1"/>
  <c r="AH128" i="1"/>
  <c r="AH127" i="1"/>
  <c r="AH72" i="1"/>
  <c r="AH117" i="1"/>
  <c r="AH93" i="1"/>
  <c r="AH65" i="1"/>
  <c r="AH8" i="1"/>
  <c r="AH45" i="1"/>
  <c r="AH4" i="1"/>
  <c r="AH13" i="1"/>
  <c r="AH126" i="1"/>
  <c r="AI3" i="1"/>
  <c r="AH3" i="1"/>
</calcChain>
</file>

<file path=xl/sharedStrings.xml><?xml version="1.0" encoding="utf-8"?>
<sst xmlns="http://schemas.openxmlformats.org/spreadsheetml/2006/main" count="1734" uniqueCount="369">
  <si>
    <t>Sum of logs_2025-01-01</t>
  </si>
  <si>
    <t>Sum of logs_2025-01-02</t>
  </si>
  <si>
    <t>Sum of logs_2025-01-03</t>
  </si>
  <si>
    <t>Sum of logs_2025-01-04</t>
  </si>
  <si>
    <t>Sum of logs_2025-01-05</t>
  </si>
  <si>
    <t>Sum of logs_2025-01-06</t>
  </si>
  <si>
    <t>Sum of logs_2025-01-07</t>
  </si>
  <si>
    <t>Sum of logs_2025-01-08</t>
  </si>
  <si>
    <t>Sum of logs_2025-01-09</t>
  </si>
  <si>
    <t>Sum of logs_2025-01-10</t>
  </si>
  <si>
    <t>Sum of logs_2025-01-11</t>
  </si>
  <si>
    <t>Sum of logs_2025-01-12</t>
  </si>
  <si>
    <t>Sum of logs_2025-01-13</t>
  </si>
  <si>
    <t>Sum of logs_2025-01-14</t>
  </si>
  <si>
    <t>Sum of logs_2025-01-15</t>
  </si>
  <si>
    <t>Sum of logs_2025-01-16</t>
  </si>
  <si>
    <t>Sum of logs_2025-01-17</t>
  </si>
  <si>
    <t>Sum of logs_2025-01-18</t>
  </si>
  <si>
    <t>Sum of logs_2025-01-19</t>
  </si>
  <si>
    <t>Sum of logs_2025-01-20</t>
  </si>
  <si>
    <t>Sum of logs_2025-01-21</t>
  </si>
  <si>
    <t>Sum of logs_2025-01-23</t>
  </si>
  <si>
    <t>Sum of logs_2025-01-24</t>
  </si>
  <si>
    <t>Sum of logs_2025-01-22</t>
  </si>
  <si>
    <t>Sum of logs_2025-01-25</t>
  </si>
  <si>
    <t>Sum of logs_2025-01-26</t>
  </si>
  <si>
    <t>Sum of logs_2025-01-27</t>
  </si>
  <si>
    <t>Sum of logs_2025-01-28</t>
  </si>
  <si>
    <t>Sum of logs_2025-01-29</t>
  </si>
  <si>
    <t>Sum of logs_2025-01-30</t>
  </si>
  <si>
    <t>Sum of logs_2025-01-31</t>
  </si>
  <si>
    <t>Arsip Nasional Republik Indonesia</t>
  </si>
  <si>
    <t>Badan Kepegawaian Negara</t>
  </si>
  <si>
    <t>Badan Meteorologi, Klimatologi, dan Geofisika</t>
  </si>
  <si>
    <t>Badan Narkotika Nasional</t>
  </si>
  <si>
    <t>Badan Pangan Nasional</t>
  </si>
  <si>
    <t>Badan Pengawas Obat dan Makanan</t>
  </si>
  <si>
    <t>Badan Pengawas Pemilihan Umum</t>
  </si>
  <si>
    <t>Badan Pengusaha Batam</t>
  </si>
  <si>
    <t>Badan Riset dan Inovasi Nasional</t>
  </si>
  <si>
    <t>Badan Siber dan Sandi Negara</t>
  </si>
  <si>
    <t>Kabupaten Aceh Barat</t>
  </si>
  <si>
    <t>Kabupaten Aceh Barat Daya</t>
  </si>
  <si>
    <t>Kabupaten Aceh Tamiang</t>
  </si>
  <si>
    <t>Kabupaten Aceh Timur</t>
  </si>
  <si>
    <t>Kabupaten Asahan</t>
  </si>
  <si>
    <t>Kabupaten Badung</t>
  </si>
  <si>
    <t>Kabupaten Balangan</t>
  </si>
  <si>
    <t>Kabupaten Banggai Kepulauan</t>
  </si>
  <si>
    <t>Kabupaten Bangkalan</t>
  </si>
  <si>
    <t>Kabupaten Banjar</t>
  </si>
  <si>
    <t>Kabupaten Bantul</t>
  </si>
  <si>
    <t>Kabupaten Banyuwangi</t>
  </si>
  <si>
    <t>Kabupaten Barito Kuala</t>
  </si>
  <si>
    <t>Kabupaten Barito Utara</t>
  </si>
  <si>
    <t>Kabupaten Bekasi</t>
  </si>
  <si>
    <t>Kabupaten Belitung</t>
  </si>
  <si>
    <t>Kabupaten Belitung Timur</t>
  </si>
  <si>
    <t>Kabupaten Bener Meriah</t>
  </si>
  <si>
    <t>Kabupaten Bengkulu Selatan</t>
  </si>
  <si>
    <t>Kabupaten Bengkulu Utara</t>
  </si>
  <si>
    <t>Kabupaten Bojonegoro</t>
  </si>
  <si>
    <t>Kabupaten Bolaang Mongondow</t>
  </si>
  <si>
    <t>Kabupaten Bondowoso</t>
  </si>
  <si>
    <t>Kabupaten Boyolali</t>
  </si>
  <si>
    <t>Kabupaten Cilacap</t>
  </si>
  <si>
    <t>Kabupaten Deli Serdang</t>
  </si>
  <si>
    <t>Kabupaten Demak</t>
  </si>
  <si>
    <t>Kabupaten Dompu</t>
  </si>
  <si>
    <t>Kabupaten Flores Timur</t>
  </si>
  <si>
    <t>Kabupaten Gianyar</t>
  </si>
  <si>
    <t>Kabupaten Gowa</t>
  </si>
  <si>
    <t>Kabupaten Gresik</t>
  </si>
  <si>
    <t>Kabupaten Grobogan</t>
  </si>
  <si>
    <t>Kabupaten Gunung Kidul</t>
  </si>
  <si>
    <t>Kabupaten Gunung Mas</t>
  </si>
  <si>
    <t>Kabupaten Hulu Sungai Selatan</t>
  </si>
  <si>
    <t>Kabupaten Indragiri Hilir</t>
  </si>
  <si>
    <t>Kabupaten Jembrana</t>
  </si>
  <si>
    <t>Kabupaten Jepara</t>
  </si>
  <si>
    <t>Kabupaten Jombang</t>
  </si>
  <si>
    <t>Kabupaten Kampar</t>
  </si>
  <si>
    <t>Kabupaten Karo</t>
  </si>
  <si>
    <t>Kabupaten Katingan</t>
  </si>
  <si>
    <t>Kabupaten Kayong Utara</t>
  </si>
  <si>
    <t>Kabupaten Kepahiang</t>
  </si>
  <si>
    <t>Kabupaten Kepulauan Meranti</t>
  </si>
  <si>
    <t>Kabupaten Kepulauan Sangihe</t>
  </si>
  <si>
    <t>Kabupaten Kolaka</t>
  </si>
  <si>
    <t>Kabupaten Kulon Progo</t>
  </si>
  <si>
    <t>Kabupaten Kuningan</t>
  </si>
  <si>
    <t>Kabupaten Kutai Kartanegara</t>
  </si>
  <si>
    <t>Kabupaten Labuhanbatu</t>
  </si>
  <si>
    <t>Kabupaten Labuhanbatu Utara</t>
  </si>
  <si>
    <t>Kabupaten Lampung Selatan</t>
  </si>
  <si>
    <t>Kabupaten Landak</t>
  </si>
  <si>
    <t>Kabupaten Langkat</t>
  </si>
  <si>
    <t>Kabupaten Lebak</t>
  </si>
  <si>
    <t>Kabupaten Lima Puluh Kota</t>
  </si>
  <si>
    <t>Kabupaten Magetan</t>
  </si>
  <si>
    <t>Kabupaten Manggarai Barat</t>
  </si>
  <si>
    <t>Kabupaten Morowali</t>
  </si>
  <si>
    <t>Kabupaten Morowali Utara</t>
  </si>
  <si>
    <t>Kabupaten Mukomuko</t>
  </si>
  <si>
    <t>Kabupaten Murung Raya</t>
  </si>
  <si>
    <t>Kabupaten Nagan Raya</t>
  </si>
  <si>
    <t>Kabupaten Ngawi</t>
  </si>
  <si>
    <t>Kabupaten Nunukan</t>
  </si>
  <si>
    <t>Kabupaten Ogan Komering Ilir</t>
  </si>
  <si>
    <t>Kabupaten Pacitan</t>
  </si>
  <si>
    <t>Kabupaten Padang Pariaman</t>
  </si>
  <si>
    <t>Kabupaten Pandeglang</t>
  </si>
  <si>
    <t>Kabupaten Pasaman Barat</t>
  </si>
  <si>
    <t>Kabupaten Pasangkayu</t>
  </si>
  <si>
    <t>Kabupaten Pasuruan</t>
  </si>
  <si>
    <t>Kabupaten Penajam Paser Utara</t>
  </si>
  <si>
    <t>Kabupaten Pidie Jaya</t>
  </si>
  <si>
    <t>Kabupaten Polewali Mandar</t>
  </si>
  <si>
    <t>Kabupaten Ponorogo</t>
  </si>
  <si>
    <t>Kabupaten Poso</t>
  </si>
  <si>
    <t>Kabupaten Probolinggo</t>
  </si>
  <si>
    <t>Kabupaten Rembang</t>
  </si>
  <si>
    <t>Kabupaten Rokan Hilir</t>
  </si>
  <si>
    <t>Kabupaten Sampang</t>
  </si>
  <si>
    <t>Kabupaten Sanggau</t>
  </si>
  <si>
    <t>Kabupaten Sekadau</t>
  </si>
  <si>
    <t>Kabupaten Seluma</t>
  </si>
  <si>
    <t>Kabupaten Semarang</t>
  </si>
  <si>
    <t>Kabupaten Serang</t>
  </si>
  <si>
    <t>Kabupaten Sragen</t>
  </si>
  <si>
    <t>Kabupaten Sukabumi</t>
  </si>
  <si>
    <t>Kabupaten Sumba Timur</t>
  </si>
  <si>
    <t>Kabupaten Sumbawa Barat</t>
  </si>
  <si>
    <t>Kabupaten Tabalong</t>
  </si>
  <si>
    <t>Kabupaten Tana Tidung</t>
  </si>
  <si>
    <t>Kabupaten Tanah Bumbu</t>
  </si>
  <si>
    <t>Kabupaten Tanah Datar</t>
  </si>
  <si>
    <t>Kabupaten Toba Samosir</t>
  </si>
  <si>
    <t>Kabupaten Tojo Una-Una</t>
  </si>
  <si>
    <t>Kabupaten Trenggalek</t>
  </si>
  <si>
    <t>Kabupaten Tulang Bawang</t>
  </si>
  <si>
    <t>Kabupaten Tulang Bawang Barat</t>
  </si>
  <si>
    <t>Kabupaten Tulungagung</t>
  </si>
  <si>
    <t>Kementerian Dalam Negeri</t>
  </si>
  <si>
    <t>Kementerian Desa dan PDTT</t>
  </si>
  <si>
    <t>Kementerian Hukum dan HAM</t>
  </si>
  <si>
    <t>Kementerian Kelautan dan Perikanan</t>
  </si>
  <si>
    <t>Kementerian Kesehatan</t>
  </si>
  <si>
    <t>Kementerian Koordinator Bidang Polhukam</t>
  </si>
  <si>
    <t>Kementerian Koperasi dan UMKM</t>
  </si>
  <si>
    <t>Kementerian Luar Negeri</t>
  </si>
  <si>
    <t>Kementerian Pariwisata dan Ekonomi Kreatif</t>
  </si>
  <si>
    <t>Kementerian Pekerjaan Umum dan Perumahan Rakyat</t>
  </si>
  <si>
    <t>Kementerian Pemuda dan Olahraga</t>
  </si>
  <si>
    <t>Kementerian Pendayagunaan Aparatur Negara dan Reformasi Birokrasi</t>
  </si>
  <si>
    <t>Kementerian Pendidikan Kebudayaan Riset dan Teknologi</t>
  </si>
  <si>
    <t>Kementerian Perdagangan</t>
  </si>
  <si>
    <t>Kementerian Perencanaan Pembangunan Nasional/BAPPENAS</t>
  </si>
  <si>
    <t>Kementerian Perhubungan</t>
  </si>
  <si>
    <t>Kementerian Pertanian</t>
  </si>
  <si>
    <t>Kepaniteraan dan Sekretariat Jenderal Mahkamah Konstitusi RI</t>
  </si>
  <si>
    <t>Kota Balikpapan</t>
  </si>
  <si>
    <t>Kota Banda Aceh</t>
  </si>
  <si>
    <t>Kota Bandung</t>
  </si>
  <si>
    <t>Kota Banjarmasin</t>
  </si>
  <si>
    <t>Kota Batam</t>
  </si>
  <si>
    <t>Kota Batu</t>
  </si>
  <si>
    <t>Kota Bitung</t>
  </si>
  <si>
    <t>Kota Blitar</t>
  </si>
  <si>
    <t>Kota Bontang</t>
  </si>
  <si>
    <t>Kota Bukittinggi</t>
  </si>
  <si>
    <t>Kota Cilegon</t>
  </si>
  <si>
    <t>Kota Cirebon</t>
  </si>
  <si>
    <t>Kota Denpasar</t>
  </si>
  <si>
    <t>Kota Depok</t>
  </si>
  <si>
    <t>Kota Gorontalo</t>
  </si>
  <si>
    <t>Kota Jambi</t>
  </si>
  <si>
    <t>Kota Kediri</t>
  </si>
  <si>
    <t>Kota Mataram</t>
  </si>
  <si>
    <t>Kota Padang</t>
  </si>
  <si>
    <t>Kota Palangkaraya</t>
  </si>
  <si>
    <t>Kota Palembang</t>
  </si>
  <si>
    <t>Kota Palopo</t>
  </si>
  <si>
    <t>Kota Pangkal Pinang</t>
  </si>
  <si>
    <t>Kota Pariaman</t>
  </si>
  <si>
    <t>Kota Pasuruan</t>
  </si>
  <si>
    <t>Kota Payakumbuh</t>
  </si>
  <si>
    <t>Kota Pontianak</t>
  </si>
  <si>
    <t>Kota Probolinggo</t>
  </si>
  <si>
    <t>Kota Sawahlunto</t>
  </si>
  <si>
    <t>Kota Semarang</t>
  </si>
  <si>
    <t>Kota Sibolga</t>
  </si>
  <si>
    <t>Kota Singkawang</t>
  </si>
  <si>
    <t>Kota Solok</t>
  </si>
  <si>
    <t>Kota Surakarta</t>
  </si>
  <si>
    <t>Kota Tangerang</t>
  </si>
  <si>
    <t>Kota Tanjung Pinang</t>
  </si>
  <si>
    <t>Kota Tebing Tinggi</t>
  </si>
  <si>
    <t>Kota Yogyakarta</t>
  </si>
  <si>
    <t>Lembaga Administrasi Negara</t>
  </si>
  <si>
    <t>Lembaga Kebijakan Pengadaan Barang/Jasa Pemerintah</t>
  </si>
  <si>
    <t>Perpustakaan Nasional</t>
  </si>
  <si>
    <t>Provinsi Aceh</t>
  </si>
  <si>
    <t>Provinsi Bali</t>
  </si>
  <si>
    <t>Provinsi Bangka Belitung</t>
  </si>
  <si>
    <t>Provinsi Banten</t>
  </si>
  <si>
    <t>Provinsi Bengkulu</t>
  </si>
  <si>
    <t>Provinsi Daerah Istimewa Yogyakarta</t>
  </si>
  <si>
    <t>Provinsi DKI Jakarta</t>
  </si>
  <si>
    <t>Provinsi Gorontalo</t>
  </si>
  <si>
    <t>Provinsi Jawa Barat</t>
  </si>
  <si>
    <t>Provinsi Jawa Tengah</t>
  </si>
  <si>
    <t>Provinsi Jawa Timur</t>
  </si>
  <si>
    <t>Provinsi Kalimantan Tengah</t>
  </si>
  <si>
    <t>Provinsi Kalimantan Timur</t>
  </si>
  <si>
    <t>Provinsi Lampung</t>
  </si>
  <si>
    <t>Provinsi Nusa Tenggara Barat</t>
  </si>
  <si>
    <t>Provinsi Riau</t>
  </si>
  <si>
    <t>Provinsi Sulawesi Utara</t>
  </si>
  <si>
    <t>Sekretariat Jenderal DPR RI</t>
  </si>
  <si>
    <t>Setjen Komisi Pemberantasan Korupsi</t>
  </si>
  <si>
    <t>Setjen Komisi Pemilihan Umum</t>
  </si>
  <si>
    <t>Tidak Terdaftar</t>
  </si>
  <si>
    <t>Grand Total</t>
  </si>
  <si>
    <t>Rata-Rata Hit Harian</t>
  </si>
  <si>
    <t>Instansi</t>
  </si>
  <si>
    <t>Total Hari tidak ada Hit</t>
  </si>
  <si>
    <t>Sum of logs_2025-02-01</t>
  </si>
  <si>
    <t>Sum of logs_2025-02-02</t>
  </si>
  <si>
    <t>Sum of logs_2025-02-05</t>
  </si>
  <si>
    <t>Sum of logs_2025-02-06</t>
  </si>
  <si>
    <t>Sum of logs_2025-02-07</t>
  </si>
  <si>
    <t>Sum of logs_2025-02-08</t>
  </si>
  <si>
    <t>Sum of logs_2025-02-09</t>
  </si>
  <si>
    <t>Sum of logs_2025-02-10</t>
  </si>
  <si>
    <t>Sum of logs_2025-02-11</t>
  </si>
  <si>
    <t>Sum of logs_2025-02-12</t>
  </si>
  <si>
    <t>Sum of logs_2025-02-13</t>
  </si>
  <si>
    <t>Sum of logs_2025-02-14</t>
  </si>
  <si>
    <t>Sum of logs_2025-02-15</t>
  </si>
  <si>
    <t>Sum of logs_2025-02-16</t>
  </si>
  <si>
    <t>Sum of logs_2025-02-17</t>
  </si>
  <si>
    <t>Sum of logs_2025-02-18</t>
  </si>
  <si>
    <t>Sum of logs_2025-02-19</t>
  </si>
  <si>
    <t>Sum of logs_2025-02-20</t>
  </si>
  <si>
    <t>Sum of logs_2025-02-21</t>
  </si>
  <si>
    <t>Sum of logs_2025-02-22</t>
  </si>
  <si>
    <t>Sum of logs_2025-02-23</t>
  </si>
  <si>
    <t>Sum of logs_2025-02-24</t>
  </si>
  <si>
    <t>Sum of logs_2025-02-25</t>
  </si>
  <si>
    <t>Sum of logs_2025-02-26</t>
  </si>
  <si>
    <t>Sum of logs_2025-02-27</t>
  </si>
  <si>
    <t>Sum of logs_2025-02-28</t>
  </si>
  <si>
    <t>Sum of logs_2025-03-04</t>
  </si>
  <si>
    <t>Sum of logs_2025-03-05</t>
  </si>
  <si>
    <t>Sum of logs_2025-03-06</t>
  </si>
  <si>
    <t>Sum of logs_2025-03-07</t>
  </si>
  <si>
    <t>Sum of logs_2025-03-08</t>
  </si>
  <si>
    <t>Sum of logs_2025-03-09</t>
  </si>
  <si>
    <t>Sum of logs_2025-03-10</t>
  </si>
  <si>
    <t>Sum of logs_2025-03-11</t>
  </si>
  <si>
    <t>Sum of logs_2025-03-12</t>
  </si>
  <si>
    <t>Sum of logs_2025-03-13</t>
  </si>
  <si>
    <t>Sum of logs_2025-03-14</t>
  </si>
  <si>
    <t>Sum of logs_2025-03-15</t>
  </si>
  <si>
    <t>Sum of logs_2025-03-16</t>
  </si>
  <si>
    <t>Sum of logs_2025-03-17</t>
  </si>
  <si>
    <t>Sum of logs_2025-03-18</t>
  </si>
  <si>
    <t>Sum of logs_2025-03-19</t>
  </si>
  <si>
    <t>Sum of logs_2025-03-20</t>
  </si>
  <si>
    <t>Sum of logs_2025-03-21</t>
  </si>
  <si>
    <t>Sum of logs_2025-03-22</t>
  </si>
  <si>
    <t>Sum of logs_2025-03-23</t>
  </si>
  <si>
    <t>Sum of logs_2025-03-24</t>
  </si>
  <si>
    <t>Sum of logs_2025-03-25</t>
  </si>
  <si>
    <t>Sum of logs_2025-03-26</t>
  </si>
  <si>
    <t>Sum of logs_2025-03-27</t>
  </si>
  <si>
    <t>Sum of logs_2025-03-28</t>
  </si>
  <si>
    <t>Sum of logs_2025-03-29</t>
  </si>
  <si>
    <t>Sum of logs_2025-03-30</t>
  </si>
  <si>
    <t>Sum of logs_2025-03-31</t>
  </si>
  <si>
    <t>Sum of logs_2025-04-01</t>
  </si>
  <si>
    <t>Sum of logs_2025-04-02</t>
  </si>
  <si>
    <t>Sum of logs_2025-04-03</t>
  </si>
  <si>
    <t>Sum of logs_2025-04-04</t>
  </si>
  <si>
    <t>Sum of logs_2025-04-05</t>
  </si>
  <si>
    <t>Sum of logs_2025-04-06</t>
  </si>
  <si>
    <t>Sum of logs_2025-04-07</t>
  </si>
  <si>
    <t>Sum of logs_2025-04-08</t>
  </si>
  <si>
    <t>Sum of logs_2025-04-09</t>
  </si>
  <si>
    <t>Sum of logs_2025-04-10</t>
  </si>
  <si>
    <t>Sum of logs_2025-04-11</t>
  </si>
  <si>
    <t>Sum of logs_2025-04-12</t>
  </si>
  <si>
    <t>Sum of logs_2025-04-13</t>
  </si>
  <si>
    <t>Sum of logs_2025-04-14</t>
  </si>
  <si>
    <t>Sum of logs_2025-04-15</t>
  </si>
  <si>
    <t>Sum of logs_2025-04-16</t>
  </si>
  <si>
    <t>Sum of logs_2025-04-17</t>
  </si>
  <si>
    <t>Sum of logs_2025-04-18</t>
  </si>
  <si>
    <t>Sum of logs_2025-04-19</t>
  </si>
  <si>
    <t>Sum of logs_2025-04-20</t>
  </si>
  <si>
    <t>Sum of logs_2025-04-21</t>
  </si>
  <si>
    <t>Sum of logs_2025-04-22</t>
  </si>
  <si>
    <t>Sum of logs_2025-04-23</t>
  </si>
  <si>
    <t>Sum of logs_2025-04-24</t>
  </si>
  <si>
    <t>Sum of logs_2025-04-25</t>
  </si>
  <si>
    <t>Sum of logs_2025-04-26</t>
  </si>
  <si>
    <t>Sum of logs_2025-04-27</t>
  </si>
  <si>
    <t>Sum of logs_2025-04-28</t>
  </si>
  <si>
    <t>Sum of logs_2025-04-29</t>
  </si>
  <si>
    <t>Sum of logs_2025-04-30</t>
  </si>
  <si>
    <t>Sum of logs_2025-05-01</t>
  </si>
  <si>
    <t>Sum of logs_2025-05-02</t>
  </si>
  <si>
    <t>Sum of logs_2025-05-03</t>
  </si>
  <si>
    <t>Sum of logs_2025-05-04</t>
  </si>
  <si>
    <t>Sum of logs_2025-05-05</t>
  </si>
  <si>
    <t>Sum of logs_2025-05-06</t>
  </si>
  <si>
    <t>Sum of logs_2025-05-07</t>
  </si>
  <si>
    <t>Sum of logs_2025-05-08</t>
  </si>
  <si>
    <t>Sum of logs_2025-05-09</t>
  </si>
  <si>
    <t>Sum of logs_2025-05-10</t>
  </si>
  <si>
    <t>Sum of logs_2025-05-11</t>
  </si>
  <si>
    <t>Sum of logs_2025-05-12</t>
  </si>
  <si>
    <t>Sum of logs_2025-05-13</t>
  </si>
  <si>
    <t>Sum of logs_2025-05-14</t>
  </si>
  <si>
    <t>Sum of logs_2025-05-15</t>
  </si>
  <si>
    <t>Sum of logs_2025-05-16</t>
  </si>
  <si>
    <t>Sum of logs_2025-05-17</t>
  </si>
  <si>
    <t>Sum of logs_2025-05-18</t>
  </si>
  <si>
    <t>Sum of logs_2025-05-19</t>
  </si>
  <si>
    <t>Sum of logs_2025-05-20</t>
  </si>
  <si>
    <t>Sum of logs_2025-05-21</t>
  </si>
  <si>
    <t>Sum of logs_2025-05-22</t>
  </si>
  <si>
    <t>Sum of logs_2025-05-23</t>
  </si>
  <si>
    <t>Sum of logs_2025-05-24</t>
  </si>
  <si>
    <t>Sum of logs_2025-05-25</t>
  </si>
  <si>
    <t>Sum of logs_2025-05-26</t>
  </si>
  <si>
    <t>Sum of logs_2025-05-27</t>
  </si>
  <si>
    <t>Sum of logs_2025-05-28</t>
  </si>
  <si>
    <t>Sum of logs_2025-05-29</t>
  </si>
  <si>
    <t>Sum of logs_2025-05-30</t>
  </si>
  <si>
    <t>Sum of logs_2025-05-31</t>
  </si>
  <si>
    <t xml:space="preserve">**Kriteria Aktif : Rata rata hit per bulan &gt;= 1 &amp; Jumlah Hari tanpa hit &lt; 4 </t>
  </si>
  <si>
    <t>Badan Informasi Geospasial</t>
  </si>
  <si>
    <t>Badan Nasional Penanggulangan Bencana</t>
  </si>
  <si>
    <t>Kabupaten Aceh Jaya</t>
  </si>
  <si>
    <t>Kabupaten Bogor</t>
  </si>
  <si>
    <t>Kabupaten Buleleng</t>
  </si>
  <si>
    <t>Kabupaten Karangasem</t>
  </si>
  <si>
    <t>Kabupaten Lamongan</t>
  </si>
  <si>
    <t>Kabupaten Magelang</t>
  </si>
  <si>
    <t>Kabupaten Sigi</t>
  </si>
  <si>
    <t>Kantor Staf Presiden</t>
  </si>
  <si>
    <t>Kejaksaan Agung</t>
  </si>
  <si>
    <t>Kementerian Agraria dan Tata Ruang/Badan Pertanahan Nasional</t>
  </si>
  <si>
    <t>Kementerian Koordinator Bidang Pangan</t>
  </si>
  <si>
    <t>Kota Manado</t>
  </si>
  <si>
    <t>Provinsi Sulawesi Tengah</t>
  </si>
  <si>
    <t>Instansi Aktif By API Owner</t>
  </si>
  <si>
    <t>Instansi Aktif By API Requester</t>
  </si>
  <si>
    <t>UNION</t>
  </si>
  <si>
    <t>By Owner</t>
  </si>
  <si>
    <t>Januari</t>
  </si>
  <si>
    <t>Februari</t>
  </si>
  <si>
    <t>Maret</t>
  </si>
  <si>
    <t>April</t>
  </si>
  <si>
    <t>Mei</t>
  </si>
  <si>
    <t>By Requester</t>
  </si>
  <si>
    <t>Jumlah 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</si>
</sst>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10" fontId="0" fillId="0" borderId="0" xfId="1" applyNumberFormat="1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5" xfId="0" applyFont="1" applyBorder="1"/>
    <xf numFmtId="0" fontId="0" fillId="3" borderId="0" xfId="0" applyFill="1"/>
    <xf numFmtId="0" fontId="0" fillId="0" borderId="2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9" xfId="0" applyFont="1" applyBorder="1"/>
    <xf numFmtId="0" fontId="2" fillId="0" borderId="9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EA2-0479-41A6-A8A8-2A3805D821F9}">
  <dimension ref="B2:AI195"/>
  <sheetViews>
    <sheetView topLeftCell="B1" workbookViewId="0">
      <selection activeCell="B4" sqref="B4:B19"/>
    </sheetView>
  </sheetViews>
  <sheetFormatPr defaultRowHeight="15" x14ac:dyDescent="0.25"/>
  <cols>
    <col min="2" max="2" width="65" bestFit="1" customWidth="1"/>
    <col min="3" max="33" width="24.28515625" bestFit="1" customWidth="1"/>
    <col min="34" max="34" width="21.140625" bestFit="1" customWidth="1"/>
    <col min="35" max="35" width="23.42578125" bestFit="1" customWidth="1"/>
  </cols>
  <sheetData>
    <row r="2" spans="2:35" x14ac:dyDescent="0.25">
      <c r="B2" t="s">
        <v>225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224</v>
      </c>
      <c r="AI2" t="s">
        <v>226</v>
      </c>
    </row>
    <row r="3" spans="2:35" hidden="1" x14ac:dyDescent="0.25">
      <c r="B3" t="s">
        <v>223</v>
      </c>
      <c r="C3">
        <v>13606</v>
      </c>
      <c r="D3">
        <v>16239</v>
      </c>
      <c r="E3">
        <v>16119</v>
      </c>
      <c r="F3">
        <v>8808</v>
      </c>
      <c r="G3">
        <v>8504</v>
      </c>
      <c r="H3">
        <v>15204</v>
      </c>
      <c r="I3">
        <v>17527</v>
      </c>
      <c r="J3">
        <v>17670</v>
      </c>
      <c r="K3">
        <v>19524</v>
      </c>
      <c r="L3">
        <v>18297</v>
      </c>
      <c r="M3">
        <v>19463</v>
      </c>
      <c r="N3">
        <v>17385</v>
      </c>
      <c r="O3">
        <v>19267</v>
      </c>
      <c r="P3">
        <v>19701</v>
      </c>
      <c r="Q3">
        <v>20696</v>
      </c>
      <c r="R3">
        <v>21152</v>
      </c>
      <c r="S3">
        <v>20253</v>
      </c>
      <c r="T3">
        <v>16524</v>
      </c>
      <c r="U3">
        <v>14940</v>
      </c>
      <c r="V3">
        <v>22327</v>
      </c>
      <c r="W3">
        <v>21998</v>
      </c>
      <c r="X3">
        <v>21998</v>
      </c>
      <c r="Y3">
        <v>27986</v>
      </c>
      <c r="Z3">
        <v>24092</v>
      </c>
      <c r="AA3">
        <v>25431</v>
      </c>
      <c r="AB3">
        <v>21854</v>
      </c>
      <c r="AC3">
        <v>27527</v>
      </c>
      <c r="AD3">
        <v>24503</v>
      </c>
      <c r="AE3">
        <v>27680</v>
      </c>
      <c r="AF3">
        <v>24419</v>
      </c>
      <c r="AG3">
        <v>27005</v>
      </c>
      <c r="AH3" t="e">
        <f>AVERAGE(#REF!/COUNT(C3:AG3))</f>
        <v>#REF!</v>
      </c>
      <c r="AI3">
        <f>COUNTIF(C3:AG3, "&gt;0")</f>
        <v>31</v>
      </c>
    </row>
    <row r="4" spans="2:35" x14ac:dyDescent="0.25">
      <c r="B4" s="1" t="s">
        <v>33</v>
      </c>
      <c r="C4">
        <v>4144</v>
      </c>
      <c r="D4">
        <v>6051</v>
      </c>
      <c r="E4">
        <v>5932</v>
      </c>
      <c r="F4">
        <v>568</v>
      </c>
      <c r="G4">
        <v>399</v>
      </c>
      <c r="H4">
        <v>6370</v>
      </c>
      <c r="I4">
        <v>7119</v>
      </c>
      <c r="J4">
        <v>6963</v>
      </c>
      <c r="K4">
        <v>7042</v>
      </c>
      <c r="L4">
        <v>6730</v>
      </c>
      <c r="M4">
        <v>5460</v>
      </c>
      <c r="N4">
        <v>5233</v>
      </c>
      <c r="O4">
        <v>6743</v>
      </c>
      <c r="P4">
        <v>7419</v>
      </c>
      <c r="Q4">
        <v>7702</v>
      </c>
      <c r="R4">
        <v>8720</v>
      </c>
      <c r="S4">
        <v>7120</v>
      </c>
      <c r="T4">
        <v>5176</v>
      </c>
      <c r="U4">
        <v>4393</v>
      </c>
      <c r="V4">
        <v>10186</v>
      </c>
      <c r="W4">
        <v>9092</v>
      </c>
      <c r="X4">
        <v>9998</v>
      </c>
      <c r="Y4">
        <v>13541</v>
      </c>
      <c r="Z4">
        <v>11326</v>
      </c>
      <c r="AA4">
        <v>14041</v>
      </c>
      <c r="AB4">
        <v>10661</v>
      </c>
      <c r="AC4">
        <v>15759</v>
      </c>
      <c r="AD4">
        <v>12467</v>
      </c>
      <c r="AE4">
        <v>13398</v>
      </c>
      <c r="AF4">
        <v>9953</v>
      </c>
      <c r="AG4">
        <v>12308</v>
      </c>
      <c r="AH4">
        <f t="shared" ref="AH4:AH35" si="0">AVERAGE(C4:AG4)</f>
        <v>8129.4838709677415</v>
      </c>
      <c r="AI4">
        <f t="shared" ref="AI4:AI35" si="1">COUNTIF(C4:AG4,"0")</f>
        <v>0</v>
      </c>
    </row>
    <row r="5" spans="2:35" x14ac:dyDescent="0.25">
      <c r="B5" s="1" t="s">
        <v>218</v>
      </c>
      <c r="C5">
        <v>5866</v>
      </c>
      <c r="D5">
        <v>5520</v>
      </c>
      <c r="E5">
        <v>5739</v>
      </c>
      <c r="F5">
        <v>5723</v>
      </c>
      <c r="G5">
        <v>5784</v>
      </c>
      <c r="H5">
        <v>5697</v>
      </c>
      <c r="I5">
        <v>5753</v>
      </c>
      <c r="J5">
        <v>5853</v>
      </c>
      <c r="K5">
        <v>5708</v>
      </c>
      <c r="L5">
        <v>5793</v>
      </c>
      <c r="M5">
        <v>5646</v>
      </c>
      <c r="N5">
        <v>5805</v>
      </c>
      <c r="O5">
        <v>5633</v>
      </c>
      <c r="P5">
        <v>5892</v>
      </c>
      <c r="Q5">
        <v>5814</v>
      </c>
      <c r="R5">
        <v>5633</v>
      </c>
      <c r="S5">
        <v>5970</v>
      </c>
      <c r="T5">
        <v>5798</v>
      </c>
      <c r="U5">
        <v>5526</v>
      </c>
      <c r="V5">
        <v>5892</v>
      </c>
      <c r="W5">
        <v>5709</v>
      </c>
      <c r="X5">
        <v>5691</v>
      </c>
      <c r="Y5">
        <v>5877</v>
      </c>
      <c r="Z5">
        <v>5753</v>
      </c>
      <c r="AA5">
        <v>5679</v>
      </c>
      <c r="AB5">
        <v>5864</v>
      </c>
      <c r="AC5">
        <v>5759</v>
      </c>
      <c r="AD5">
        <v>5863</v>
      </c>
      <c r="AE5">
        <v>5643</v>
      </c>
      <c r="AF5">
        <v>6195</v>
      </c>
      <c r="AG5">
        <v>5771</v>
      </c>
      <c r="AH5">
        <f t="shared" si="0"/>
        <v>5769.322580645161</v>
      </c>
      <c r="AI5">
        <f t="shared" si="1"/>
        <v>0</v>
      </c>
    </row>
    <row r="6" spans="2:35" x14ac:dyDescent="0.25">
      <c r="B6" s="1" t="s">
        <v>216</v>
      </c>
      <c r="C6">
        <v>1522</v>
      </c>
      <c r="D6">
        <v>1678</v>
      </c>
      <c r="E6">
        <v>1648</v>
      </c>
      <c r="F6">
        <v>431</v>
      </c>
      <c r="G6">
        <v>236</v>
      </c>
      <c r="H6">
        <v>312</v>
      </c>
      <c r="I6">
        <v>1496</v>
      </c>
      <c r="J6">
        <v>1739</v>
      </c>
      <c r="K6">
        <v>1614</v>
      </c>
      <c r="L6">
        <v>2370</v>
      </c>
      <c r="M6">
        <v>2448</v>
      </c>
      <c r="N6">
        <v>2592</v>
      </c>
      <c r="O6">
        <v>1785</v>
      </c>
      <c r="P6">
        <v>2725</v>
      </c>
      <c r="Q6">
        <v>2713</v>
      </c>
      <c r="R6">
        <v>2567</v>
      </c>
      <c r="S6">
        <v>2820</v>
      </c>
      <c r="T6">
        <v>2827</v>
      </c>
      <c r="U6">
        <v>2419</v>
      </c>
      <c r="V6">
        <v>2638</v>
      </c>
      <c r="W6">
        <v>2587</v>
      </c>
      <c r="X6">
        <v>2435</v>
      </c>
      <c r="Y6">
        <v>2507</v>
      </c>
      <c r="Z6">
        <v>2543</v>
      </c>
      <c r="AA6">
        <v>2407</v>
      </c>
      <c r="AB6">
        <v>2548</v>
      </c>
      <c r="AC6">
        <v>2485</v>
      </c>
      <c r="AD6">
        <v>2475</v>
      </c>
      <c r="AE6">
        <v>2355</v>
      </c>
      <c r="AF6">
        <v>2458</v>
      </c>
      <c r="AG6">
        <v>2354</v>
      </c>
      <c r="AH6">
        <f t="shared" si="0"/>
        <v>2120.4516129032259</v>
      </c>
      <c r="AI6">
        <f t="shared" si="1"/>
        <v>0</v>
      </c>
    </row>
    <row r="7" spans="2:35" x14ac:dyDescent="0.25">
      <c r="B7" s="1" t="s">
        <v>151</v>
      </c>
      <c r="C7">
        <v>839</v>
      </c>
      <c r="D7">
        <v>840</v>
      </c>
      <c r="E7">
        <v>839</v>
      </c>
      <c r="F7">
        <v>840</v>
      </c>
      <c r="G7">
        <v>953</v>
      </c>
      <c r="H7">
        <v>839</v>
      </c>
      <c r="I7">
        <v>839</v>
      </c>
      <c r="J7">
        <v>839</v>
      </c>
      <c r="K7">
        <v>1263</v>
      </c>
      <c r="L7">
        <v>839</v>
      </c>
      <c r="M7">
        <v>4514</v>
      </c>
      <c r="N7">
        <v>2507</v>
      </c>
      <c r="O7">
        <v>2684</v>
      </c>
      <c r="P7">
        <v>1478</v>
      </c>
      <c r="Q7">
        <v>1496</v>
      </c>
      <c r="R7">
        <v>1269</v>
      </c>
      <c r="S7">
        <v>1379</v>
      </c>
      <c r="T7">
        <v>1397</v>
      </c>
      <c r="U7">
        <v>1291</v>
      </c>
      <c r="V7">
        <v>1312</v>
      </c>
      <c r="W7">
        <v>1214</v>
      </c>
      <c r="X7">
        <v>1268</v>
      </c>
      <c r="Y7">
        <v>3468</v>
      </c>
      <c r="Z7">
        <v>1275</v>
      </c>
      <c r="AA7">
        <v>1951</v>
      </c>
      <c r="AB7">
        <v>1284</v>
      </c>
      <c r="AC7">
        <v>1310</v>
      </c>
      <c r="AD7">
        <v>1277</v>
      </c>
      <c r="AE7">
        <v>3782</v>
      </c>
      <c r="AF7">
        <v>1826</v>
      </c>
      <c r="AG7">
        <v>2648</v>
      </c>
      <c r="AH7">
        <f t="shared" si="0"/>
        <v>1598.7096774193549</v>
      </c>
      <c r="AI7">
        <f t="shared" si="1"/>
        <v>0</v>
      </c>
    </row>
    <row r="8" spans="2:35" x14ac:dyDescent="0.25">
      <c r="B8" s="1" t="s">
        <v>35</v>
      </c>
      <c r="C8">
        <v>721</v>
      </c>
      <c r="D8">
        <v>578</v>
      </c>
      <c r="E8">
        <v>491</v>
      </c>
      <c r="F8">
        <v>612</v>
      </c>
      <c r="G8">
        <v>604</v>
      </c>
      <c r="H8">
        <v>430</v>
      </c>
      <c r="I8">
        <v>710</v>
      </c>
      <c r="J8">
        <v>478</v>
      </c>
      <c r="K8">
        <v>1478</v>
      </c>
      <c r="L8">
        <v>569</v>
      </c>
      <c r="M8">
        <v>627</v>
      </c>
      <c r="N8">
        <v>621</v>
      </c>
      <c r="O8">
        <v>566</v>
      </c>
      <c r="P8">
        <v>213</v>
      </c>
      <c r="Q8">
        <v>677</v>
      </c>
      <c r="R8">
        <v>583</v>
      </c>
      <c r="S8">
        <v>603</v>
      </c>
      <c r="T8">
        <v>414</v>
      </c>
      <c r="U8">
        <v>602</v>
      </c>
      <c r="V8">
        <v>251</v>
      </c>
      <c r="W8">
        <v>616</v>
      </c>
      <c r="X8">
        <v>677</v>
      </c>
      <c r="Y8">
        <v>501</v>
      </c>
      <c r="Z8">
        <v>616</v>
      </c>
      <c r="AA8">
        <v>605</v>
      </c>
      <c r="AB8">
        <v>611</v>
      </c>
      <c r="AC8">
        <v>719</v>
      </c>
      <c r="AD8">
        <v>762</v>
      </c>
      <c r="AE8">
        <v>592</v>
      </c>
      <c r="AF8">
        <v>589</v>
      </c>
      <c r="AG8">
        <v>586</v>
      </c>
      <c r="AH8">
        <f t="shared" si="0"/>
        <v>603.29032258064512</v>
      </c>
      <c r="AI8">
        <f t="shared" si="1"/>
        <v>0</v>
      </c>
    </row>
    <row r="9" spans="2:35" x14ac:dyDescent="0.25">
      <c r="B9" s="1" t="s">
        <v>57</v>
      </c>
      <c r="C9">
        <v>315</v>
      </c>
      <c r="D9">
        <v>273</v>
      </c>
      <c r="E9">
        <v>298</v>
      </c>
      <c r="F9">
        <v>296</v>
      </c>
      <c r="G9">
        <v>284</v>
      </c>
      <c r="H9">
        <v>311</v>
      </c>
      <c r="I9">
        <v>280</v>
      </c>
      <c r="J9">
        <v>303</v>
      </c>
      <c r="K9">
        <v>355</v>
      </c>
      <c r="L9">
        <v>308</v>
      </c>
      <c r="M9">
        <v>289</v>
      </c>
      <c r="N9">
        <v>302</v>
      </c>
      <c r="O9">
        <v>302</v>
      </c>
      <c r="P9">
        <v>357</v>
      </c>
      <c r="Q9">
        <v>264</v>
      </c>
      <c r="R9">
        <v>307</v>
      </c>
      <c r="S9">
        <v>308</v>
      </c>
      <c r="T9">
        <v>290</v>
      </c>
      <c r="U9">
        <v>300</v>
      </c>
      <c r="V9">
        <v>26</v>
      </c>
      <c r="W9">
        <v>309</v>
      </c>
      <c r="X9">
        <v>284</v>
      </c>
      <c r="Y9">
        <v>309</v>
      </c>
      <c r="Z9">
        <v>296</v>
      </c>
      <c r="AA9">
        <v>302</v>
      </c>
      <c r="AB9">
        <v>302</v>
      </c>
      <c r="AC9">
        <v>288</v>
      </c>
      <c r="AD9">
        <v>288</v>
      </c>
      <c r="AE9">
        <v>291</v>
      </c>
      <c r="AF9">
        <v>313</v>
      </c>
      <c r="AG9">
        <v>310</v>
      </c>
      <c r="AH9">
        <f t="shared" si="0"/>
        <v>292.25806451612902</v>
      </c>
      <c r="AI9">
        <f t="shared" si="1"/>
        <v>0</v>
      </c>
    </row>
    <row r="10" spans="2:35" x14ac:dyDescent="0.25">
      <c r="B10" s="1" t="s">
        <v>143</v>
      </c>
      <c r="C10">
        <v>51</v>
      </c>
      <c r="D10">
        <v>88</v>
      </c>
      <c r="E10">
        <v>190</v>
      </c>
      <c r="F10">
        <v>40</v>
      </c>
      <c r="G10">
        <v>56</v>
      </c>
      <c r="H10">
        <v>152</v>
      </c>
      <c r="I10">
        <v>180</v>
      </c>
      <c r="J10">
        <v>202</v>
      </c>
      <c r="K10">
        <v>162</v>
      </c>
      <c r="L10">
        <v>241</v>
      </c>
      <c r="M10">
        <v>39</v>
      </c>
      <c r="N10">
        <v>44</v>
      </c>
      <c r="O10">
        <v>208</v>
      </c>
      <c r="P10">
        <v>242</v>
      </c>
      <c r="Q10">
        <v>368</v>
      </c>
      <c r="R10">
        <v>370</v>
      </c>
      <c r="S10">
        <v>437</v>
      </c>
      <c r="T10">
        <v>49</v>
      </c>
      <c r="U10">
        <v>37</v>
      </c>
      <c r="V10">
        <v>416</v>
      </c>
      <c r="W10">
        <v>565</v>
      </c>
      <c r="X10">
        <v>206</v>
      </c>
      <c r="Y10">
        <v>218</v>
      </c>
      <c r="Z10">
        <v>416</v>
      </c>
      <c r="AA10">
        <v>46</v>
      </c>
      <c r="AB10">
        <v>40</v>
      </c>
      <c r="AC10">
        <v>52</v>
      </c>
      <c r="AD10">
        <v>21</v>
      </c>
      <c r="AE10">
        <v>57</v>
      </c>
      <c r="AF10">
        <v>158</v>
      </c>
      <c r="AG10">
        <v>117</v>
      </c>
      <c r="AH10">
        <f t="shared" si="0"/>
        <v>176.38709677419354</v>
      </c>
      <c r="AI10">
        <f t="shared" si="1"/>
        <v>0</v>
      </c>
    </row>
    <row r="11" spans="2:35" x14ac:dyDescent="0.25">
      <c r="B11" s="1" t="s">
        <v>55</v>
      </c>
      <c r="C11">
        <v>1</v>
      </c>
      <c r="D11">
        <v>253</v>
      </c>
      <c r="E11">
        <v>155</v>
      </c>
      <c r="F11">
        <v>9</v>
      </c>
      <c r="G11">
        <v>29</v>
      </c>
      <c r="H11">
        <v>148</v>
      </c>
      <c r="I11">
        <v>194</v>
      </c>
      <c r="J11">
        <v>218</v>
      </c>
      <c r="K11">
        <v>256</v>
      </c>
      <c r="L11">
        <v>370</v>
      </c>
      <c r="M11">
        <v>17</v>
      </c>
      <c r="N11">
        <v>3</v>
      </c>
      <c r="O11">
        <v>194</v>
      </c>
      <c r="P11">
        <v>234</v>
      </c>
      <c r="Q11">
        <v>442</v>
      </c>
      <c r="R11">
        <v>393</v>
      </c>
      <c r="S11">
        <v>496</v>
      </c>
      <c r="T11">
        <v>166</v>
      </c>
      <c r="U11">
        <v>17</v>
      </c>
      <c r="V11">
        <v>288</v>
      </c>
      <c r="W11">
        <v>305</v>
      </c>
      <c r="X11">
        <v>301</v>
      </c>
      <c r="Y11">
        <v>145</v>
      </c>
      <c r="Z11">
        <v>278</v>
      </c>
      <c r="AA11">
        <v>16</v>
      </c>
      <c r="AB11">
        <v>16</v>
      </c>
      <c r="AC11">
        <v>1</v>
      </c>
      <c r="AD11">
        <v>82</v>
      </c>
      <c r="AE11">
        <v>40</v>
      </c>
      <c r="AF11">
        <v>215</v>
      </c>
      <c r="AG11">
        <v>142</v>
      </c>
      <c r="AH11">
        <f t="shared" si="0"/>
        <v>174.96774193548387</v>
      </c>
      <c r="AI11">
        <f t="shared" si="1"/>
        <v>0</v>
      </c>
    </row>
    <row r="12" spans="2:35" x14ac:dyDescent="0.25">
      <c r="B12" s="1" t="s">
        <v>210</v>
      </c>
      <c r="C12">
        <v>29</v>
      </c>
      <c r="D12">
        <v>28</v>
      </c>
      <c r="E12">
        <v>27</v>
      </c>
      <c r="F12">
        <v>25</v>
      </c>
      <c r="G12">
        <v>29</v>
      </c>
      <c r="H12">
        <v>27</v>
      </c>
      <c r="I12">
        <v>31</v>
      </c>
      <c r="J12">
        <v>28</v>
      </c>
      <c r="K12">
        <v>31</v>
      </c>
      <c r="L12">
        <v>28</v>
      </c>
      <c r="M12">
        <v>27</v>
      </c>
      <c r="N12">
        <v>28</v>
      </c>
      <c r="O12">
        <v>32</v>
      </c>
      <c r="P12">
        <v>30</v>
      </c>
      <c r="Q12">
        <v>32</v>
      </c>
      <c r="R12">
        <v>28</v>
      </c>
      <c r="S12">
        <v>31</v>
      </c>
      <c r="T12">
        <v>30</v>
      </c>
      <c r="U12">
        <v>25</v>
      </c>
      <c r="V12">
        <v>34</v>
      </c>
      <c r="W12">
        <v>28</v>
      </c>
      <c r="X12">
        <v>29</v>
      </c>
      <c r="Y12">
        <v>27</v>
      </c>
      <c r="Z12">
        <v>31</v>
      </c>
      <c r="AA12">
        <v>27</v>
      </c>
      <c r="AB12">
        <v>25</v>
      </c>
      <c r="AC12">
        <v>27</v>
      </c>
      <c r="AD12">
        <v>27</v>
      </c>
      <c r="AE12">
        <v>31</v>
      </c>
      <c r="AF12">
        <v>24</v>
      </c>
      <c r="AG12">
        <v>30</v>
      </c>
      <c r="AH12">
        <f t="shared" si="0"/>
        <v>28.580645161290324</v>
      </c>
      <c r="AI12">
        <f t="shared" si="1"/>
        <v>0</v>
      </c>
    </row>
    <row r="13" spans="2:35" x14ac:dyDescent="0.25">
      <c r="B13" s="1" t="s">
        <v>32</v>
      </c>
      <c r="C13">
        <v>9</v>
      </c>
      <c r="D13">
        <v>10</v>
      </c>
      <c r="E13">
        <v>12</v>
      </c>
      <c r="F13">
        <v>9</v>
      </c>
      <c r="G13">
        <v>10</v>
      </c>
      <c r="H13">
        <v>9</v>
      </c>
      <c r="I13">
        <v>15</v>
      </c>
      <c r="J13">
        <v>15</v>
      </c>
      <c r="K13">
        <v>21</v>
      </c>
      <c r="L13">
        <v>20</v>
      </c>
      <c r="M13">
        <v>8</v>
      </c>
      <c r="N13">
        <v>8</v>
      </c>
      <c r="O13">
        <v>12</v>
      </c>
      <c r="P13">
        <v>18</v>
      </c>
      <c r="Q13">
        <v>16</v>
      </c>
      <c r="R13">
        <v>12</v>
      </c>
      <c r="S13">
        <v>18</v>
      </c>
      <c r="T13">
        <v>8</v>
      </c>
      <c r="U13">
        <v>10</v>
      </c>
      <c r="V13">
        <v>9</v>
      </c>
      <c r="W13">
        <v>27</v>
      </c>
      <c r="X13">
        <v>12</v>
      </c>
      <c r="Y13">
        <v>13</v>
      </c>
      <c r="Z13">
        <v>26</v>
      </c>
      <c r="AA13">
        <v>16</v>
      </c>
      <c r="AB13">
        <v>9</v>
      </c>
      <c r="AC13">
        <v>9</v>
      </c>
      <c r="AD13">
        <v>18</v>
      </c>
      <c r="AE13">
        <v>8</v>
      </c>
      <c r="AF13">
        <v>15</v>
      </c>
      <c r="AG13">
        <v>14</v>
      </c>
      <c r="AH13">
        <f t="shared" si="0"/>
        <v>13.419354838709678</v>
      </c>
      <c r="AI13">
        <f t="shared" si="1"/>
        <v>0</v>
      </c>
    </row>
    <row r="14" spans="2:35" x14ac:dyDescent="0.25">
      <c r="B14" s="1" t="s">
        <v>51</v>
      </c>
      <c r="C14">
        <v>3</v>
      </c>
      <c r="D14">
        <v>3</v>
      </c>
      <c r="E14">
        <v>2</v>
      </c>
      <c r="F14">
        <v>2</v>
      </c>
      <c r="G14">
        <v>1</v>
      </c>
      <c r="H14">
        <v>1</v>
      </c>
      <c r="I14">
        <v>1</v>
      </c>
      <c r="J14">
        <v>3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1</v>
      </c>
      <c r="S14">
        <v>2</v>
      </c>
      <c r="T14">
        <v>1</v>
      </c>
      <c r="U14">
        <v>1</v>
      </c>
      <c r="V14">
        <v>3</v>
      </c>
      <c r="W14">
        <v>1</v>
      </c>
      <c r="X14">
        <v>2</v>
      </c>
      <c r="Y14">
        <v>1</v>
      </c>
      <c r="Z14">
        <v>1</v>
      </c>
      <c r="AA14">
        <v>1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1</v>
      </c>
      <c r="AH14">
        <f t="shared" si="0"/>
        <v>1.4516129032258065</v>
      </c>
      <c r="AI14">
        <f t="shared" si="1"/>
        <v>0</v>
      </c>
    </row>
    <row r="15" spans="2:35" x14ac:dyDescent="0.25">
      <c r="B15" s="1" t="s">
        <v>46</v>
      </c>
      <c r="C15">
        <v>4</v>
      </c>
      <c r="D15">
        <v>63</v>
      </c>
      <c r="E15">
        <v>47</v>
      </c>
      <c r="F15">
        <v>14</v>
      </c>
      <c r="G15">
        <v>3</v>
      </c>
      <c r="H15">
        <v>84</v>
      </c>
      <c r="I15">
        <v>92</v>
      </c>
      <c r="J15">
        <v>76</v>
      </c>
      <c r="K15">
        <v>66</v>
      </c>
      <c r="L15">
        <v>73</v>
      </c>
      <c r="M15">
        <v>8</v>
      </c>
      <c r="N15">
        <v>2</v>
      </c>
      <c r="O15">
        <v>68</v>
      </c>
      <c r="P15">
        <v>47</v>
      </c>
      <c r="Q15">
        <v>45</v>
      </c>
      <c r="R15">
        <v>74</v>
      </c>
      <c r="S15">
        <v>72</v>
      </c>
      <c r="T15">
        <v>11</v>
      </c>
      <c r="U15">
        <v>6</v>
      </c>
      <c r="V15">
        <v>56</v>
      </c>
      <c r="W15">
        <v>49</v>
      </c>
      <c r="X15">
        <v>71</v>
      </c>
      <c r="Y15">
        <v>46</v>
      </c>
      <c r="Z15">
        <v>53</v>
      </c>
      <c r="AA15">
        <v>8</v>
      </c>
      <c r="AB15">
        <v>0</v>
      </c>
      <c r="AC15">
        <v>3</v>
      </c>
      <c r="AD15">
        <v>26</v>
      </c>
      <c r="AE15">
        <v>3</v>
      </c>
      <c r="AF15">
        <v>58</v>
      </c>
      <c r="AG15">
        <v>52</v>
      </c>
      <c r="AH15">
        <f t="shared" si="0"/>
        <v>41.29032258064516</v>
      </c>
      <c r="AI15">
        <f t="shared" si="1"/>
        <v>1</v>
      </c>
    </row>
    <row r="16" spans="2:35" x14ac:dyDescent="0.25">
      <c r="B16" s="1" t="s">
        <v>70</v>
      </c>
      <c r="C16">
        <v>14</v>
      </c>
      <c r="D16">
        <v>124</v>
      </c>
      <c r="E16">
        <v>70</v>
      </c>
      <c r="F16">
        <v>15</v>
      </c>
      <c r="G16">
        <v>5</v>
      </c>
      <c r="H16">
        <v>78</v>
      </c>
      <c r="I16">
        <v>46</v>
      </c>
      <c r="J16">
        <v>32</v>
      </c>
      <c r="K16">
        <v>21</v>
      </c>
      <c r="L16">
        <v>19</v>
      </c>
      <c r="M16">
        <v>3</v>
      </c>
      <c r="N16">
        <v>7</v>
      </c>
      <c r="O16">
        <v>37</v>
      </c>
      <c r="P16">
        <v>4</v>
      </c>
      <c r="Q16">
        <v>33</v>
      </c>
      <c r="R16">
        <v>27</v>
      </c>
      <c r="S16">
        <v>16</v>
      </c>
      <c r="T16">
        <v>1</v>
      </c>
      <c r="U16">
        <v>6</v>
      </c>
      <c r="V16">
        <v>29</v>
      </c>
      <c r="W16">
        <v>38</v>
      </c>
      <c r="X16">
        <v>23</v>
      </c>
      <c r="Y16">
        <v>45</v>
      </c>
      <c r="Z16">
        <v>23</v>
      </c>
      <c r="AA16">
        <v>12</v>
      </c>
      <c r="AB16">
        <v>1</v>
      </c>
      <c r="AC16">
        <v>0</v>
      </c>
      <c r="AD16">
        <v>10</v>
      </c>
      <c r="AE16">
        <v>20</v>
      </c>
      <c r="AF16">
        <v>50</v>
      </c>
      <c r="AG16">
        <v>17</v>
      </c>
      <c r="AH16">
        <f t="shared" si="0"/>
        <v>26.64516129032258</v>
      </c>
      <c r="AI16">
        <f t="shared" si="1"/>
        <v>1</v>
      </c>
    </row>
    <row r="17" spans="2:35" x14ac:dyDescent="0.25">
      <c r="B17" s="1" t="s">
        <v>203</v>
      </c>
      <c r="C17">
        <v>7</v>
      </c>
      <c r="D17">
        <v>20</v>
      </c>
      <c r="E17">
        <v>17</v>
      </c>
      <c r="F17">
        <v>9</v>
      </c>
      <c r="G17">
        <v>7</v>
      </c>
      <c r="H17">
        <v>27</v>
      </c>
      <c r="I17">
        <v>12</v>
      </c>
      <c r="J17">
        <v>7</v>
      </c>
      <c r="K17">
        <v>25</v>
      </c>
      <c r="L17">
        <v>12</v>
      </c>
      <c r="M17">
        <v>14</v>
      </c>
      <c r="N17">
        <v>13</v>
      </c>
      <c r="O17">
        <v>26</v>
      </c>
      <c r="P17">
        <v>11</v>
      </c>
      <c r="Q17">
        <v>17</v>
      </c>
      <c r="R17">
        <v>14</v>
      </c>
      <c r="S17">
        <v>4</v>
      </c>
      <c r="T17">
        <v>14</v>
      </c>
      <c r="U17">
        <v>13</v>
      </c>
      <c r="V17">
        <v>13</v>
      </c>
      <c r="W17">
        <v>17</v>
      </c>
      <c r="X17">
        <v>13</v>
      </c>
      <c r="Y17">
        <v>16</v>
      </c>
      <c r="Z17">
        <v>16</v>
      </c>
      <c r="AA17">
        <v>3</v>
      </c>
      <c r="AB17">
        <v>0</v>
      </c>
      <c r="AC17">
        <v>20</v>
      </c>
      <c r="AD17">
        <v>9</v>
      </c>
      <c r="AE17">
        <v>10</v>
      </c>
      <c r="AF17">
        <v>12</v>
      </c>
      <c r="AG17">
        <v>35</v>
      </c>
      <c r="AH17">
        <f t="shared" si="0"/>
        <v>13.96774193548387</v>
      </c>
      <c r="AI17">
        <f t="shared" si="1"/>
        <v>1</v>
      </c>
    </row>
    <row r="18" spans="2:35" x14ac:dyDescent="0.25">
      <c r="B18" s="1" t="s">
        <v>152</v>
      </c>
      <c r="C18">
        <v>49</v>
      </c>
      <c r="D18">
        <v>45</v>
      </c>
      <c r="E18">
        <v>47</v>
      </c>
      <c r="F18">
        <v>45</v>
      </c>
      <c r="G18">
        <v>47</v>
      </c>
      <c r="H18">
        <v>47</v>
      </c>
      <c r="I18">
        <v>47</v>
      </c>
      <c r="J18">
        <v>47</v>
      </c>
      <c r="K18">
        <v>47</v>
      </c>
      <c r="L18">
        <v>47</v>
      </c>
      <c r="M18">
        <v>48</v>
      </c>
      <c r="N18">
        <v>47</v>
      </c>
      <c r="O18">
        <v>48</v>
      </c>
      <c r="P18">
        <v>41</v>
      </c>
      <c r="Q18">
        <v>43</v>
      </c>
      <c r="R18">
        <v>47</v>
      </c>
      <c r="S18">
        <v>47</v>
      </c>
      <c r="T18">
        <v>47</v>
      </c>
      <c r="U18">
        <v>47</v>
      </c>
      <c r="V18">
        <v>47</v>
      </c>
      <c r="W18">
        <v>41</v>
      </c>
      <c r="X18">
        <v>12</v>
      </c>
      <c r="Y18">
        <v>0</v>
      </c>
      <c r="Z18">
        <v>42</v>
      </c>
      <c r="AA18">
        <v>0</v>
      </c>
      <c r="AB18">
        <v>0</v>
      </c>
      <c r="AC18">
        <v>30</v>
      </c>
      <c r="AD18">
        <v>47</v>
      </c>
      <c r="AE18">
        <v>47</v>
      </c>
      <c r="AF18">
        <v>47</v>
      </c>
      <c r="AG18">
        <v>45</v>
      </c>
      <c r="AH18">
        <f t="shared" si="0"/>
        <v>40.032258064516128</v>
      </c>
      <c r="AI18">
        <f t="shared" si="1"/>
        <v>3</v>
      </c>
    </row>
    <row r="19" spans="2:35" x14ac:dyDescent="0.25">
      <c r="B19" s="1" t="s">
        <v>189</v>
      </c>
      <c r="C19">
        <v>1</v>
      </c>
      <c r="D19">
        <v>1</v>
      </c>
      <c r="E19">
        <v>1</v>
      </c>
      <c r="F19">
        <v>1</v>
      </c>
      <c r="G19">
        <v>0</v>
      </c>
      <c r="H19">
        <v>2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2</v>
      </c>
      <c r="AB19">
        <v>1</v>
      </c>
      <c r="AC19">
        <v>1</v>
      </c>
      <c r="AD19">
        <v>2</v>
      </c>
      <c r="AE19">
        <v>0</v>
      </c>
      <c r="AF19">
        <v>2</v>
      </c>
      <c r="AG19">
        <v>1</v>
      </c>
      <c r="AH19">
        <f t="shared" si="0"/>
        <v>1.064516129032258</v>
      </c>
      <c r="AI19">
        <f t="shared" si="1"/>
        <v>3</v>
      </c>
    </row>
    <row r="20" spans="2:35" x14ac:dyDescent="0.25">
      <c r="B20" t="s">
        <v>66</v>
      </c>
      <c r="C20">
        <v>10</v>
      </c>
      <c r="D20">
        <v>72</v>
      </c>
      <c r="E20">
        <v>126</v>
      </c>
      <c r="F20">
        <v>38</v>
      </c>
      <c r="G20">
        <v>23</v>
      </c>
      <c r="H20">
        <v>113</v>
      </c>
      <c r="I20">
        <v>118</v>
      </c>
      <c r="J20">
        <v>258</v>
      </c>
      <c r="K20">
        <v>160</v>
      </c>
      <c r="L20">
        <v>81</v>
      </c>
      <c r="M20">
        <v>84</v>
      </c>
      <c r="N20">
        <v>62</v>
      </c>
      <c r="O20">
        <v>104</v>
      </c>
      <c r="P20">
        <v>194</v>
      </c>
      <c r="Q20">
        <v>164</v>
      </c>
      <c r="R20">
        <v>86</v>
      </c>
      <c r="S20">
        <v>82</v>
      </c>
      <c r="T20">
        <v>41</v>
      </c>
      <c r="U20">
        <v>57</v>
      </c>
      <c r="V20">
        <v>79</v>
      </c>
      <c r="W20">
        <v>94</v>
      </c>
      <c r="X20">
        <v>91</v>
      </c>
      <c r="Y20">
        <v>6</v>
      </c>
      <c r="Z20">
        <v>125</v>
      </c>
      <c r="AA20">
        <v>0</v>
      </c>
      <c r="AB20">
        <v>0</v>
      </c>
      <c r="AC20">
        <v>0</v>
      </c>
      <c r="AD20">
        <v>0</v>
      </c>
      <c r="AE20">
        <v>36</v>
      </c>
      <c r="AF20">
        <v>59</v>
      </c>
      <c r="AG20">
        <v>85</v>
      </c>
      <c r="AH20">
        <f t="shared" si="0"/>
        <v>78.967741935483872</v>
      </c>
      <c r="AI20">
        <f t="shared" si="1"/>
        <v>4</v>
      </c>
    </row>
    <row r="21" spans="2:35" x14ac:dyDescent="0.25">
      <c r="B21" t="s">
        <v>128</v>
      </c>
      <c r="C21">
        <v>0</v>
      </c>
      <c r="D21">
        <v>4</v>
      </c>
      <c r="E21">
        <v>30</v>
      </c>
      <c r="F21">
        <v>1</v>
      </c>
      <c r="G21">
        <v>0</v>
      </c>
      <c r="H21">
        <v>15</v>
      </c>
      <c r="I21">
        <v>30</v>
      </c>
      <c r="J21">
        <v>41</v>
      </c>
      <c r="K21">
        <v>22</v>
      </c>
      <c r="L21">
        <v>29</v>
      </c>
      <c r="M21">
        <v>1</v>
      </c>
      <c r="N21">
        <v>1</v>
      </c>
      <c r="O21">
        <v>18</v>
      </c>
      <c r="P21">
        <v>24</v>
      </c>
      <c r="Q21">
        <v>14</v>
      </c>
      <c r="R21">
        <v>26</v>
      </c>
      <c r="S21">
        <v>26</v>
      </c>
      <c r="T21">
        <v>6</v>
      </c>
      <c r="U21">
        <v>0</v>
      </c>
      <c r="V21">
        <v>28</v>
      </c>
      <c r="W21">
        <v>52</v>
      </c>
      <c r="X21">
        <v>8</v>
      </c>
      <c r="Y21">
        <v>29</v>
      </c>
      <c r="Z21">
        <v>27</v>
      </c>
      <c r="AA21">
        <v>13</v>
      </c>
      <c r="AB21">
        <v>0</v>
      </c>
      <c r="AC21">
        <v>3</v>
      </c>
      <c r="AD21">
        <v>3</v>
      </c>
      <c r="AE21">
        <v>1</v>
      </c>
      <c r="AF21">
        <v>18</v>
      </c>
      <c r="AG21">
        <v>32</v>
      </c>
      <c r="AH21">
        <f t="shared" si="0"/>
        <v>16.193548387096776</v>
      </c>
      <c r="AI21">
        <f t="shared" si="1"/>
        <v>4</v>
      </c>
    </row>
    <row r="22" spans="2:35" x14ac:dyDescent="0.25">
      <c r="B22" t="s">
        <v>139</v>
      </c>
      <c r="C22">
        <v>2</v>
      </c>
      <c r="D22">
        <v>2</v>
      </c>
      <c r="E22">
        <v>2</v>
      </c>
      <c r="F22">
        <v>2</v>
      </c>
      <c r="G22">
        <v>2</v>
      </c>
      <c r="H22">
        <v>4</v>
      </c>
      <c r="I22">
        <v>2</v>
      </c>
      <c r="J22">
        <v>6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6</v>
      </c>
      <c r="S22">
        <v>2</v>
      </c>
      <c r="T22">
        <v>2</v>
      </c>
      <c r="U22">
        <v>2</v>
      </c>
      <c r="V22">
        <v>7</v>
      </c>
      <c r="W22">
        <v>2</v>
      </c>
      <c r="X22">
        <v>7</v>
      </c>
      <c r="Y22">
        <v>2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2</v>
      </c>
      <c r="AH22">
        <f t="shared" si="0"/>
        <v>2.5161290322580645</v>
      </c>
      <c r="AI22">
        <f t="shared" si="1"/>
        <v>4</v>
      </c>
    </row>
    <row r="23" spans="2:35" x14ac:dyDescent="0.25">
      <c r="B23" t="s">
        <v>174</v>
      </c>
      <c r="C23">
        <v>8</v>
      </c>
      <c r="D23">
        <v>120</v>
      </c>
      <c r="E23">
        <v>101</v>
      </c>
      <c r="F23">
        <v>47</v>
      </c>
      <c r="G23">
        <v>7</v>
      </c>
      <c r="H23">
        <v>103</v>
      </c>
      <c r="I23">
        <v>103</v>
      </c>
      <c r="J23">
        <v>83</v>
      </c>
      <c r="K23">
        <v>115</v>
      </c>
      <c r="L23">
        <v>65</v>
      </c>
      <c r="M23">
        <v>15</v>
      </c>
      <c r="N23">
        <v>0</v>
      </c>
      <c r="O23">
        <v>47</v>
      </c>
      <c r="P23">
        <v>98</v>
      </c>
      <c r="Q23">
        <v>67</v>
      </c>
      <c r="R23">
        <v>60</v>
      </c>
      <c r="S23">
        <v>45</v>
      </c>
      <c r="T23">
        <v>22</v>
      </c>
      <c r="U23">
        <v>0</v>
      </c>
      <c r="V23">
        <v>81</v>
      </c>
      <c r="W23">
        <v>120</v>
      </c>
      <c r="X23">
        <v>66</v>
      </c>
      <c r="Y23">
        <v>81</v>
      </c>
      <c r="Z23">
        <v>97</v>
      </c>
      <c r="AA23">
        <v>25</v>
      </c>
      <c r="AB23">
        <v>2</v>
      </c>
      <c r="AC23">
        <v>0</v>
      </c>
      <c r="AD23">
        <v>0</v>
      </c>
      <c r="AE23">
        <v>0</v>
      </c>
      <c r="AF23">
        <v>77</v>
      </c>
      <c r="AG23">
        <v>100</v>
      </c>
      <c r="AH23">
        <f t="shared" si="0"/>
        <v>56.612903225806448</v>
      </c>
      <c r="AI23">
        <f t="shared" si="1"/>
        <v>5</v>
      </c>
    </row>
    <row r="24" spans="2:35" x14ac:dyDescent="0.25">
      <c r="B24" t="s">
        <v>190</v>
      </c>
      <c r="C24">
        <v>0</v>
      </c>
      <c r="D24">
        <v>105</v>
      </c>
      <c r="E24">
        <v>98</v>
      </c>
      <c r="F24">
        <v>15</v>
      </c>
      <c r="G24">
        <v>0</v>
      </c>
      <c r="H24">
        <v>61</v>
      </c>
      <c r="I24">
        <v>103</v>
      </c>
      <c r="J24">
        <v>77</v>
      </c>
      <c r="K24">
        <v>98</v>
      </c>
      <c r="L24">
        <v>65</v>
      </c>
      <c r="M24">
        <v>54</v>
      </c>
      <c r="N24">
        <v>0</v>
      </c>
      <c r="O24">
        <v>79</v>
      </c>
      <c r="P24">
        <v>76</v>
      </c>
      <c r="Q24">
        <v>83</v>
      </c>
      <c r="R24">
        <v>133</v>
      </c>
      <c r="S24">
        <v>78</v>
      </c>
      <c r="T24">
        <v>40</v>
      </c>
      <c r="U24">
        <v>5</v>
      </c>
      <c r="V24">
        <v>93</v>
      </c>
      <c r="W24">
        <v>143</v>
      </c>
      <c r="X24">
        <v>85</v>
      </c>
      <c r="Y24">
        <v>92</v>
      </c>
      <c r="Z24">
        <v>75</v>
      </c>
      <c r="AA24">
        <v>35</v>
      </c>
      <c r="AB24">
        <v>0</v>
      </c>
      <c r="AC24">
        <v>0</v>
      </c>
      <c r="AD24">
        <v>0</v>
      </c>
      <c r="AE24">
        <v>7</v>
      </c>
      <c r="AF24">
        <v>97</v>
      </c>
      <c r="AG24">
        <v>83</v>
      </c>
      <c r="AH24">
        <f t="shared" si="0"/>
        <v>60.645161290322584</v>
      </c>
      <c r="AI24">
        <f t="shared" si="1"/>
        <v>6</v>
      </c>
    </row>
    <row r="25" spans="2:35" x14ac:dyDescent="0.25">
      <c r="B25" t="s">
        <v>164</v>
      </c>
      <c r="C25">
        <v>0</v>
      </c>
      <c r="D25">
        <v>54</v>
      </c>
      <c r="E25">
        <v>32</v>
      </c>
      <c r="F25">
        <v>12</v>
      </c>
      <c r="G25">
        <v>0</v>
      </c>
      <c r="H25">
        <v>27</v>
      </c>
      <c r="I25">
        <v>30</v>
      </c>
      <c r="J25">
        <v>24</v>
      </c>
      <c r="K25">
        <v>49</v>
      </c>
      <c r="L25">
        <v>28</v>
      </c>
      <c r="M25">
        <v>15</v>
      </c>
      <c r="N25">
        <v>0</v>
      </c>
      <c r="O25">
        <v>21</v>
      </c>
      <c r="P25">
        <v>28</v>
      </c>
      <c r="Q25">
        <v>37</v>
      </c>
      <c r="R25">
        <v>29</v>
      </c>
      <c r="S25">
        <v>25</v>
      </c>
      <c r="T25">
        <v>21</v>
      </c>
      <c r="U25">
        <v>0</v>
      </c>
      <c r="V25">
        <v>16</v>
      </c>
      <c r="W25">
        <v>10</v>
      </c>
      <c r="X25">
        <v>25</v>
      </c>
      <c r="Y25">
        <v>41</v>
      </c>
      <c r="Z25">
        <v>23</v>
      </c>
      <c r="AA25">
        <v>4</v>
      </c>
      <c r="AB25">
        <v>0</v>
      </c>
      <c r="AC25">
        <v>3</v>
      </c>
      <c r="AD25">
        <v>12</v>
      </c>
      <c r="AE25">
        <v>0</v>
      </c>
      <c r="AF25">
        <v>28</v>
      </c>
      <c r="AG25">
        <v>31</v>
      </c>
      <c r="AH25">
        <f t="shared" si="0"/>
        <v>20.161290322580644</v>
      </c>
      <c r="AI25">
        <f t="shared" si="1"/>
        <v>6</v>
      </c>
    </row>
    <row r="26" spans="2:35" x14ac:dyDescent="0.25">
      <c r="B26" t="s">
        <v>90</v>
      </c>
      <c r="C26">
        <v>0</v>
      </c>
      <c r="D26">
        <v>21</v>
      </c>
      <c r="E26">
        <v>40</v>
      </c>
      <c r="F26">
        <v>6</v>
      </c>
      <c r="G26">
        <v>7</v>
      </c>
      <c r="H26">
        <v>13</v>
      </c>
      <c r="I26">
        <v>27</v>
      </c>
      <c r="J26">
        <v>11</v>
      </c>
      <c r="K26">
        <v>27</v>
      </c>
      <c r="L26">
        <v>24</v>
      </c>
      <c r="M26">
        <v>8</v>
      </c>
      <c r="N26">
        <v>9</v>
      </c>
      <c r="O26">
        <v>59</v>
      </c>
      <c r="P26">
        <v>8</v>
      </c>
      <c r="Q26">
        <v>33</v>
      </c>
      <c r="R26">
        <v>23</v>
      </c>
      <c r="S26">
        <v>24</v>
      </c>
      <c r="T26">
        <v>8</v>
      </c>
      <c r="U26">
        <v>1</v>
      </c>
      <c r="V26">
        <v>27</v>
      </c>
      <c r="W26">
        <v>23</v>
      </c>
      <c r="X26">
        <v>45</v>
      </c>
      <c r="Y26">
        <v>38</v>
      </c>
      <c r="Z26">
        <v>43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f t="shared" si="0"/>
        <v>17</v>
      </c>
      <c r="AI26">
        <f t="shared" si="1"/>
        <v>6</v>
      </c>
    </row>
    <row r="27" spans="2:35" x14ac:dyDescent="0.25">
      <c r="B27" t="s">
        <v>163</v>
      </c>
      <c r="C27">
        <v>0</v>
      </c>
      <c r="D27">
        <v>75</v>
      </c>
      <c r="E27">
        <v>47</v>
      </c>
      <c r="F27">
        <v>5</v>
      </c>
      <c r="G27">
        <v>5</v>
      </c>
      <c r="H27">
        <v>107</v>
      </c>
      <c r="I27">
        <v>59</v>
      </c>
      <c r="J27">
        <v>88</v>
      </c>
      <c r="K27">
        <v>46</v>
      </c>
      <c r="L27">
        <v>27</v>
      </c>
      <c r="M27">
        <v>0</v>
      </c>
      <c r="N27">
        <v>0</v>
      </c>
      <c r="O27">
        <v>63</v>
      </c>
      <c r="P27">
        <v>76</v>
      </c>
      <c r="Q27">
        <v>74</v>
      </c>
      <c r="R27">
        <v>95</v>
      </c>
      <c r="S27">
        <v>74</v>
      </c>
      <c r="T27">
        <v>0</v>
      </c>
      <c r="U27">
        <v>3</v>
      </c>
      <c r="V27">
        <v>70</v>
      </c>
      <c r="W27">
        <v>83</v>
      </c>
      <c r="X27">
        <v>66</v>
      </c>
      <c r="Y27">
        <v>92</v>
      </c>
      <c r="Z27">
        <v>85</v>
      </c>
      <c r="AA27">
        <v>0</v>
      </c>
      <c r="AB27">
        <v>0</v>
      </c>
      <c r="AC27">
        <v>0</v>
      </c>
      <c r="AD27">
        <v>2</v>
      </c>
      <c r="AE27">
        <v>1</v>
      </c>
      <c r="AF27">
        <v>78</v>
      </c>
      <c r="AG27">
        <v>103</v>
      </c>
      <c r="AH27">
        <f t="shared" si="0"/>
        <v>45.935483870967744</v>
      </c>
      <c r="AI27">
        <f t="shared" si="1"/>
        <v>7</v>
      </c>
    </row>
    <row r="28" spans="2:35" x14ac:dyDescent="0.25">
      <c r="B28" t="s">
        <v>52</v>
      </c>
      <c r="C28">
        <v>0</v>
      </c>
      <c r="D28">
        <v>38</v>
      </c>
      <c r="E28">
        <v>22</v>
      </c>
      <c r="F28">
        <v>10</v>
      </c>
      <c r="G28">
        <v>0</v>
      </c>
      <c r="H28">
        <v>29</v>
      </c>
      <c r="I28">
        <v>34</v>
      </c>
      <c r="J28">
        <v>33</v>
      </c>
      <c r="K28">
        <v>52</v>
      </c>
      <c r="L28">
        <v>36</v>
      </c>
      <c r="M28">
        <v>13</v>
      </c>
      <c r="N28">
        <v>0</v>
      </c>
      <c r="O28">
        <v>31</v>
      </c>
      <c r="P28">
        <v>46</v>
      </c>
      <c r="Q28">
        <v>30</v>
      </c>
      <c r="R28">
        <v>35</v>
      </c>
      <c r="S28">
        <v>32</v>
      </c>
      <c r="T28">
        <v>15</v>
      </c>
      <c r="U28">
        <v>0</v>
      </c>
      <c r="V28">
        <v>58</v>
      </c>
      <c r="W28">
        <v>44</v>
      </c>
      <c r="X28">
        <v>34</v>
      </c>
      <c r="Y28">
        <v>29</v>
      </c>
      <c r="Z28">
        <v>52</v>
      </c>
      <c r="AA28">
        <v>2</v>
      </c>
      <c r="AB28">
        <v>0</v>
      </c>
      <c r="AC28">
        <v>0</v>
      </c>
      <c r="AD28">
        <v>4</v>
      </c>
      <c r="AE28">
        <v>0</v>
      </c>
      <c r="AF28">
        <v>24</v>
      </c>
      <c r="AG28">
        <v>46</v>
      </c>
      <c r="AH28">
        <f t="shared" si="0"/>
        <v>24.161290322580644</v>
      </c>
      <c r="AI28">
        <f t="shared" si="1"/>
        <v>7</v>
      </c>
    </row>
    <row r="29" spans="2:35" x14ac:dyDescent="0.25">
      <c r="B29" t="s">
        <v>106</v>
      </c>
      <c r="C29">
        <v>0</v>
      </c>
      <c r="D29">
        <v>8</v>
      </c>
      <c r="E29">
        <v>15</v>
      </c>
      <c r="F29">
        <v>12</v>
      </c>
      <c r="G29">
        <v>0</v>
      </c>
      <c r="H29">
        <v>24</v>
      </c>
      <c r="I29">
        <v>13</v>
      </c>
      <c r="J29">
        <v>20</v>
      </c>
      <c r="K29">
        <v>8</v>
      </c>
      <c r="L29">
        <v>3</v>
      </c>
      <c r="M29">
        <v>0</v>
      </c>
      <c r="N29">
        <v>3</v>
      </c>
      <c r="O29">
        <v>13</v>
      </c>
      <c r="P29">
        <v>14</v>
      </c>
      <c r="Q29">
        <v>5</v>
      </c>
      <c r="R29">
        <v>24</v>
      </c>
      <c r="S29">
        <v>15</v>
      </c>
      <c r="T29">
        <v>3</v>
      </c>
      <c r="U29">
        <v>0</v>
      </c>
      <c r="V29">
        <v>15</v>
      </c>
      <c r="W29">
        <v>12</v>
      </c>
      <c r="X29">
        <v>21</v>
      </c>
      <c r="Y29">
        <v>9</v>
      </c>
      <c r="Z29">
        <v>23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12</v>
      </c>
      <c r="AG29">
        <v>4</v>
      </c>
      <c r="AH29">
        <f t="shared" si="0"/>
        <v>8.9677419354838701</v>
      </c>
      <c r="AI29">
        <f t="shared" si="1"/>
        <v>7</v>
      </c>
    </row>
    <row r="30" spans="2:35" x14ac:dyDescent="0.25">
      <c r="B30" t="s">
        <v>195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642</v>
      </c>
      <c r="L30">
        <v>332</v>
      </c>
      <c r="M30">
        <v>98</v>
      </c>
      <c r="N30">
        <v>82</v>
      </c>
      <c r="O30">
        <v>353</v>
      </c>
      <c r="P30">
        <v>260</v>
      </c>
      <c r="Q30">
        <v>318</v>
      </c>
      <c r="R30">
        <v>433</v>
      </c>
      <c r="S30">
        <v>338</v>
      </c>
      <c r="T30">
        <v>101</v>
      </c>
      <c r="U30">
        <v>168</v>
      </c>
      <c r="V30">
        <v>312</v>
      </c>
      <c r="W30">
        <v>423</v>
      </c>
      <c r="X30">
        <v>283</v>
      </c>
      <c r="Y30">
        <v>354</v>
      </c>
      <c r="Z30">
        <v>540</v>
      </c>
      <c r="AA30">
        <v>181</v>
      </c>
      <c r="AB30">
        <v>15</v>
      </c>
      <c r="AC30">
        <v>14</v>
      </c>
      <c r="AD30">
        <v>46</v>
      </c>
      <c r="AE30">
        <v>18</v>
      </c>
      <c r="AF30">
        <v>349</v>
      </c>
      <c r="AG30">
        <v>356</v>
      </c>
      <c r="AH30">
        <f t="shared" si="0"/>
        <v>194.06451612903226</v>
      </c>
      <c r="AI30">
        <f t="shared" si="1"/>
        <v>8</v>
      </c>
    </row>
    <row r="31" spans="2:35" x14ac:dyDescent="0.25">
      <c r="B31" t="s">
        <v>176</v>
      </c>
      <c r="C31">
        <v>0</v>
      </c>
      <c r="D31">
        <v>31</v>
      </c>
      <c r="E31">
        <v>30</v>
      </c>
      <c r="F31">
        <v>2</v>
      </c>
      <c r="G31">
        <v>0</v>
      </c>
      <c r="H31">
        <v>44</v>
      </c>
      <c r="I31">
        <v>48</v>
      </c>
      <c r="J31">
        <v>31</v>
      </c>
      <c r="K31">
        <v>57</v>
      </c>
      <c r="L31">
        <v>34</v>
      </c>
      <c r="M31">
        <v>6</v>
      </c>
      <c r="N31">
        <v>0</v>
      </c>
      <c r="O31">
        <v>43</v>
      </c>
      <c r="P31">
        <v>22</v>
      </c>
      <c r="Q31">
        <v>34</v>
      </c>
      <c r="R31">
        <v>32</v>
      </c>
      <c r="S31">
        <v>19</v>
      </c>
      <c r="T31">
        <v>2</v>
      </c>
      <c r="U31">
        <v>0</v>
      </c>
      <c r="V31">
        <v>51</v>
      </c>
      <c r="W31">
        <v>64</v>
      </c>
      <c r="X31">
        <v>26</v>
      </c>
      <c r="Y31">
        <v>16</v>
      </c>
      <c r="Z31">
        <v>62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18</v>
      </c>
      <c r="AG31">
        <v>8</v>
      </c>
      <c r="AH31">
        <f t="shared" si="0"/>
        <v>22.032258064516128</v>
      </c>
      <c r="AI31">
        <f t="shared" si="1"/>
        <v>8</v>
      </c>
    </row>
    <row r="32" spans="2:35" x14ac:dyDescent="0.25">
      <c r="B32" t="s">
        <v>192</v>
      </c>
      <c r="C32">
        <v>0</v>
      </c>
      <c r="D32">
        <v>22</v>
      </c>
      <c r="E32">
        <v>13</v>
      </c>
      <c r="F32">
        <v>0</v>
      </c>
      <c r="G32">
        <v>0</v>
      </c>
      <c r="H32">
        <v>21</v>
      </c>
      <c r="I32">
        <v>13</v>
      </c>
      <c r="J32">
        <v>23</v>
      </c>
      <c r="K32">
        <v>24</v>
      </c>
      <c r="L32">
        <v>9</v>
      </c>
      <c r="M32">
        <v>1</v>
      </c>
      <c r="N32">
        <v>0</v>
      </c>
      <c r="O32">
        <v>10</v>
      </c>
      <c r="P32">
        <v>9</v>
      </c>
      <c r="Q32">
        <v>9</v>
      </c>
      <c r="R32">
        <v>14</v>
      </c>
      <c r="S32">
        <v>48</v>
      </c>
      <c r="T32">
        <v>3</v>
      </c>
      <c r="U32">
        <v>0</v>
      </c>
      <c r="V32">
        <v>11</v>
      </c>
      <c r="W32">
        <v>11</v>
      </c>
      <c r="X32">
        <v>9</v>
      </c>
      <c r="Y32">
        <v>50</v>
      </c>
      <c r="Z32">
        <v>13</v>
      </c>
      <c r="AA32">
        <v>2</v>
      </c>
      <c r="AB32">
        <v>0</v>
      </c>
      <c r="AC32">
        <v>0</v>
      </c>
      <c r="AD32">
        <v>0</v>
      </c>
      <c r="AE32">
        <v>5</v>
      </c>
      <c r="AF32">
        <v>6</v>
      </c>
      <c r="AG32">
        <v>4</v>
      </c>
      <c r="AH32">
        <f t="shared" si="0"/>
        <v>10.64516129032258</v>
      </c>
      <c r="AI32">
        <f t="shared" si="1"/>
        <v>8</v>
      </c>
    </row>
    <row r="33" spans="2:35" x14ac:dyDescent="0.25">
      <c r="B33" t="s">
        <v>81</v>
      </c>
      <c r="C33">
        <v>0</v>
      </c>
      <c r="D33">
        <v>19</v>
      </c>
      <c r="E33">
        <v>14</v>
      </c>
      <c r="F33">
        <v>12</v>
      </c>
      <c r="G33">
        <v>0</v>
      </c>
      <c r="H33">
        <v>20</v>
      </c>
      <c r="I33">
        <v>23</v>
      </c>
      <c r="J33">
        <v>12</v>
      </c>
      <c r="K33">
        <v>4</v>
      </c>
      <c r="L33">
        <v>6</v>
      </c>
      <c r="M33">
        <v>5</v>
      </c>
      <c r="N33">
        <v>0</v>
      </c>
      <c r="O33">
        <v>20</v>
      </c>
      <c r="P33">
        <v>23</v>
      </c>
      <c r="Q33">
        <v>29</v>
      </c>
      <c r="R33">
        <v>18</v>
      </c>
      <c r="S33">
        <v>24</v>
      </c>
      <c r="T33">
        <v>1</v>
      </c>
      <c r="U33">
        <v>0</v>
      </c>
      <c r="V33">
        <v>27</v>
      </c>
      <c r="W33">
        <v>14</v>
      </c>
      <c r="X33">
        <v>1</v>
      </c>
      <c r="Y33">
        <v>8</v>
      </c>
      <c r="Z33">
        <v>17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</v>
      </c>
      <c r="AG33">
        <v>10</v>
      </c>
      <c r="AH33">
        <f t="shared" si="0"/>
        <v>10.161290322580646</v>
      </c>
      <c r="AI33">
        <f t="shared" si="1"/>
        <v>9</v>
      </c>
    </row>
    <row r="34" spans="2:35" x14ac:dyDescent="0.25">
      <c r="B34" t="s">
        <v>184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1</v>
      </c>
      <c r="Z34">
        <v>1</v>
      </c>
      <c r="AA34">
        <v>0</v>
      </c>
      <c r="AB34">
        <v>1</v>
      </c>
      <c r="AC34">
        <v>2</v>
      </c>
      <c r="AD34">
        <v>1</v>
      </c>
      <c r="AE34">
        <v>1</v>
      </c>
      <c r="AF34">
        <v>1</v>
      </c>
      <c r="AG34">
        <v>0</v>
      </c>
      <c r="AH34">
        <f t="shared" si="0"/>
        <v>0.74193548387096775</v>
      </c>
      <c r="AI34">
        <f t="shared" si="1"/>
        <v>9</v>
      </c>
    </row>
    <row r="35" spans="2:35" x14ac:dyDescent="0.25">
      <c r="B35" t="s">
        <v>61</v>
      </c>
      <c r="C35">
        <v>2</v>
      </c>
      <c r="D35">
        <v>3</v>
      </c>
      <c r="E35">
        <v>0</v>
      </c>
      <c r="F35">
        <v>0</v>
      </c>
      <c r="G35">
        <v>7</v>
      </c>
      <c r="H35">
        <v>0</v>
      </c>
      <c r="I35">
        <v>15</v>
      </c>
      <c r="J35">
        <v>6</v>
      </c>
      <c r="K35">
        <v>23</v>
      </c>
      <c r="L35">
        <v>2</v>
      </c>
      <c r="M35">
        <v>0</v>
      </c>
      <c r="N35">
        <v>0</v>
      </c>
      <c r="O35">
        <v>0</v>
      </c>
      <c r="P35">
        <v>17</v>
      </c>
      <c r="Q35">
        <v>7</v>
      </c>
      <c r="R35">
        <v>10</v>
      </c>
      <c r="S35">
        <v>2</v>
      </c>
      <c r="T35">
        <v>8</v>
      </c>
      <c r="U35">
        <v>0</v>
      </c>
      <c r="V35">
        <v>26</v>
      </c>
      <c r="W35">
        <v>0</v>
      </c>
      <c r="X35">
        <v>3</v>
      </c>
      <c r="Y35">
        <v>15</v>
      </c>
      <c r="Z35">
        <v>23</v>
      </c>
      <c r="AA35">
        <v>0</v>
      </c>
      <c r="AB35">
        <v>0</v>
      </c>
      <c r="AC35">
        <v>9</v>
      </c>
      <c r="AD35">
        <v>13</v>
      </c>
      <c r="AE35">
        <v>2</v>
      </c>
      <c r="AF35">
        <v>7</v>
      </c>
      <c r="AG35">
        <v>8</v>
      </c>
      <c r="AH35">
        <f t="shared" si="0"/>
        <v>6.709677419354839</v>
      </c>
      <c r="AI35">
        <f t="shared" si="1"/>
        <v>10</v>
      </c>
    </row>
    <row r="36" spans="2:35" x14ac:dyDescent="0.25">
      <c r="B36" t="s">
        <v>78</v>
      </c>
      <c r="C36">
        <v>0</v>
      </c>
      <c r="D36">
        <v>19</v>
      </c>
      <c r="E36">
        <v>6</v>
      </c>
      <c r="F36">
        <v>0</v>
      </c>
      <c r="G36">
        <v>0</v>
      </c>
      <c r="H36">
        <v>6</v>
      </c>
      <c r="I36">
        <v>14</v>
      </c>
      <c r="J36">
        <v>25</v>
      </c>
      <c r="K36">
        <v>17</v>
      </c>
      <c r="L36">
        <v>26</v>
      </c>
      <c r="M36">
        <v>6</v>
      </c>
      <c r="N36">
        <v>0</v>
      </c>
      <c r="O36">
        <v>13</v>
      </c>
      <c r="P36">
        <v>11</v>
      </c>
      <c r="Q36">
        <v>12</v>
      </c>
      <c r="R36">
        <v>17</v>
      </c>
      <c r="S36">
        <v>10</v>
      </c>
      <c r="T36">
        <v>0</v>
      </c>
      <c r="U36">
        <v>0</v>
      </c>
      <c r="V36">
        <v>13</v>
      </c>
      <c r="W36">
        <v>17</v>
      </c>
      <c r="X36">
        <v>10</v>
      </c>
      <c r="Y36">
        <v>19</v>
      </c>
      <c r="Z36">
        <v>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22</v>
      </c>
      <c r="AG36">
        <v>19</v>
      </c>
      <c r="AH36">
        <f t="shared" ref="AH36:AH67" si="2">AVERAGE(C36:AG36)</f>
        <v>9.806451612903226</v>
      </c>
      <c r="AI36">
        <f t="shared" ref="AI36:AI67" si="3">COUNTIF(C36:AG36,"0")</f>
        <v>11</v>
      </c>
    </row>
    <row r="37" spans="2:35" x14ac:dyDescent="0.25">
      <c r="B37" t="s">
        <v>167</v>
      </c>
      <c r="C37">
        <v>0</v>
      </c>
      <c r="D37">
        <v>0</v>
      </c>
      <c r="E37">
        <v>2</v>
      </c>
      <c r="F37">
        <v>0</v>
      </c>
      <c r="G37">
        <v>0</v>
      </c>
      <c r="H37">
        <v>8</v>
      </c>
      <c r="I37">
        <v>2</v>
      </c>
      <c r="J37">
        <v>2</v>
      </c>
      <c r="K37">
        <v>1</v>
      </c>
      <c r="L37">
        <v>2</v>
      </c>
      <c r="M37">
        <v>0</v>
      </c>
      <c r="N37">
        <v>0</v>
      </c>
      <c r="O37">
        <v>1</v>
      </c>
      <c r="P37">
        <v>2</v>
      </c>
      <c r="Q37">
        <v>2</v>
      </c>
      <c r="R37">
        <v>4</v>
      </c>
      <c r="S37">
        <v>6</v>
      </c>
      <c r="T37">
        <v>1</v>
      </c>
      <c r="U37">
        <v>0</v>
      </c>
      <c r="V37">
        <v>6</v>
      </c>
      <c r="W37">
        <v>7</v>
      </c>
      <c r="X37">
        <v>3</v>
      </c>
      <c r="Y37">
        <v>3</v>
      </c>
      <c r="Z37">
        <v>10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4</v>
      </c>
      <c r="AG37">
        <v>1</v>
      </c>
      <c r="AH37">
        <f t="shared" si="2"/>
        <v>2.193548387096774</v>
      </c>
      <c r="AI37">
        <f t="shared" si="3"/>
        <v>11</v>
      </c>
    </row>
    <row r="38" spans="2:35" x14ac:dyDescent="0.25">
      <c r="B38" t="s">
        <v>112</v>
      </c>
      <c r="C38">
        <v>0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5</v>
      </c>
      <c r="Q38">
        <v>2</v>
      </c>
      <c r="R38">
        <v>11</v>
      </c>
      <c r="S38">
        <v>1</v>
      </c>
      <c r="T38">
        <v>0</v>
      </c>
      <c r="U38">
        <v>0</v>
      </c>
      <c r="V38">
        <v>5</v>
      </c>
      <c r="W38">
        <v>7</v>
      </c>
      <c r="X38">
        <v>2</v>
      </c>
      <c r="Y38">
        <v>3</v>
      </c>
      <c r="Z38">
        <v>3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4</v>
      </c>
      <c r="AH38">
        <f t="shared" si="2"/>
        <v>1.7096774193548387</v>
      </c>
      <c r="AI38">
        <f t="shared" si="3"/>
        <v>12</v>
      </c>
    </row>
    <row r="39" spans="2:35" x14ac:dyDescent="0.25">
      <c r="B39" t="s">
        <v>122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2</v>
      </c>
      <c r="J39">
        <v>5</v>
      </c>
      <c r="K39">
        <v>13</v>
      </c>
      <c r="L39">
        <v>24</v>
      </c>
      <c r="M39">
        <v>0</v>
      </c>
      <c r="N39">
        <v>3</v>
      </c>
      <c r="O39">
        <v>9</v>
      </c>
      <c r="P39">
        <v>4</v>
      </c>
      <c r="Q39">
        <v>9</v>
      </c>
      <c r="R39">
        <v>1</v>
      </c>
      <c r="S39">
        <v>3</v>
      </c>
      <c r="T39">
        <v>1</v>
      </c>
      <c r="U39">
        <v>0</v>
      </c>
      <c r="V39">
        <v>6</v>
      </c>
      <c r="W39">
        <v>3</v>
      </c>
      <c r="X39">
        <v>7</v>
      </c>
      <c r="Y39">
        <v>2</v>
      </c>
      <c r="Z39">
        <v>6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2"/>
        <v>3.2580645161290325</v>
      </c>
      <c r="AI39">
        <f t="shared" si="3"/>
        <v>13</v>
      </c>
    </row>
    <row r="40" spans="2:35" x14ac:dyDescent="0.25">
      <c r="B40" t="s">
        <v>136</v>
      </c>
      <c r="C40">
        <v>0</v>
      </c>
      <c r="D40">
        <v>20</v>
      </c>
      <c r="E40">
        <v>9</v>
      </c>
      <c r="F40">
        <v>1</v>
      </c>
      <c r="G40">
        <v>0</v>
      </c>
      <c r="H40">
        <v>18</v>
      </c>
      <c r="I40">
        <v>4</v>
      </c>
      <c r="J40">
        <v>8</v>
      </c>
      <c r="K40">
        <v>12</v>
      </c>
      <c r="L40">
        <v>4</v>
      </c>
      <c r="M40">
        <v>0</v>
      </c>
      <c r="N40">
        <v>0</v>
      </c>
      <c r="O40">
        <v>1</v>
      </c>
      <c r="P40">
        <v>4</v>
      </c>
      <c r="Q40">
        <v>5</v>
      </c>
      <c r="R40">
        <v>0</v>
      </c>
      <c r="S40">
        <v>2</v>
      </c>
      <c r="T40">
        <v>0</v>
      </c>
      <c r="U40">
        <v>0</v>
      </c>
      <c r="V40">
        <v>3</v>
      </c>
      <c r="W40">
        <v>0</v>
      </c>
      <c r="X40">
        <v>1</v>
      </c>
      <c r="Y40">
        <v>1</v>
      </c>
      <c r="Z40">
        <v>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2</v>
      </c>
      <c r="AH40">
        <f t="shared" si="2"/>
        <v>3.225806451612903</v>
      </c>
      <c r="AI40">
        <f t="shared" si="3"/>
        <v>13</v>
      </c>
    </row>
    <row r="41" spans="2:35" x14ac:dyDescent="0.25">
      <c r="B41" t="s">
        <v>77</v>
      </c>
      <c r="C41">
        <v>0</v>
      </c>
      <c r="D41">
        <v>3</v>
      </c>
      <c r="E41">
        <v>0</v>
      </c>
      <c r="F41">
        <v>0</v>
      </c>
      <c r="G41">
        <v>0</v>
      </c>
      <c r="H41">
        <v>2</v>
      </c>
      <c r="I41">
        <v>1</v>
      </c>
      <c r="J41">
        <v>0</v>
      </c>
      <c r="K41">
        <v>2</v>
      </c>
      <c r="L41">
        <v>7</v>
      </c>
      <c r="M41">
        <v>1</v>
      </c>
      <c r="N41">
        <v>1</v>
      </c>
      <c r="O41">
        <v>0</v>
      </c>
      <c r="P41">
        <v>9</v>
      </c>
      <c r="Q41">
        <v>1</v>
      </c>
      <c r="R41">
        <v>6</v>
      </c>
      <c r="S41">
        <v>3</v>
      </c>
      <c r="T41">
        <v>0</v>
      </c>
      <c r="U41">
        <v>0</v>
      </c>
      <c r="V41">
        <v>3</v>
      </c>
      <c r="W41">
        <v>9</v>
      </c>
      <c r="X41">
        <v>2</v>
      </c>
      <c r="Y41">
        <v>1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f t="shared" si="2"/>
        <v>2.064516129032258</v>
      </c>
      <c r="AI41">
        <f t="shared" si="3"/>
        <v>14</v>
      </c>
    </row>
    <row r="42" spans="2:35" x14ac:dyDescent="0.25">
      <c r="B42" t="s">
        <v>172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</v>
      </c>
      <c r="L42">
        <v>23</v>
      </c>
      <c r="M42">
        <v>0</v>
      </c>
      <c r="N42">
        <v>1</v>
      </c>
      <c r="O42">
        <v>11</v>
      </c>
      <c r="P42">
        <v>13</v>
      </c>
      <c r="Q42">
        <v>26</v>
      </c>
      <c r="R42">
        <v>9</v>
      </c>
      <c r="S42">
        <v>5</v>
      </c>
      <c r="T42">
        <v>0</v>
      </c>
      <c r="U42">
        <v>3</v>
      </c>
      <c r="V42">
        <v>9</v>
      </c>
      <c r="W42">
        <v>7</v>
      </c>
      <c r="X42">
        <v>14</v>
      </c>
      <c r="Y42">
        <v>5</v>
      </c>
      <c r="Z42">
        <v>12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8</v>
      </c>
      <c r="AG42">
        <v>7</v>
      </c>
      <c r="AH42">
        <f t="shared" si="2"/>
        <v>5.064516129032258</v>
      </c>
      <c r="AI42">
        <f t="shared" si="3"/>
        <v>15</v>
      </c>
    </row>
    <row r="43" spans="2:35" x14ac:dyDescent="0.25">
      <c r="B43" t="s">
        <v>131</v>
      </c>
      <c r="C43">
        <v>0</v>
      </c>
      <c r="D43">
        <v>0</v>
      </c>
      <c r="E43">
        <v>0</v>
      </c>
      <c r="F43">
        <v>0</v>
      </c>
      <c r="G43">
        <v>1</v>
      </c>
      <c r="H43">
        <v>10</v>
      </c>
      <c r="I43">
        <v>12</v>
      </c>
      <c r="J43">
        <v>8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3</v>
      </c>
      <c r="R43">
        <v>7</v>
      </c>
      <c r="S43">
        <v>12</v>
      </c>
      <c r="T43">
        <v>2</v>
      </c>
      <c r="U43">
        <v>0</v>
      </c>
      <c r="V43">
        <v>13</v>
      </c>
      <c r="W43">
        <v>7</v>
      </c>
      <c r="X43">
        <v>3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11</v>
      </c>
      <c r="AG43">
        <v>1</v>
      </c>
      <c r="AH43">
        <f t="shared" si="2"/>
        <v>3.064516129032258</v>
      </c>
      <c r="AI43">
        <f t="shared" si="3"/>
        <v>15</v>
      </c>
    </row>
    <row r="44" spans="2:35" x14ac:dyDescent="0.25">
      <c r="B44" t="s">
        <v>170</v>
      </c>
      <c r="C44">
        <v>0</v>
      </c>
      <c r="D44">
        <v>4</v>
      </c>
      <c r="E44">
        <v>3</v>
      </c>
      <c r="F44">
        <v>0</v>
      </c>
      <c r="G44">
        <v>0</v>
      </c>
      <c r="H44">
        <v>4</v>
      </c>
      <c r="I44">
        <v>1</v>
      </c>
      <c r="J44">
        <v>1</v>
      </c>
      <c r="K44">
        <v>2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5</v>
      </c>
      <c r="T44">
        <v>0</v>
      </c>
      <c r="U44">
        <v>0</v>
      </c>
      <c r="V44">
        <v>0</v>
      </c>
      <c r="W44">
        <v>6</v>
      </c>
      <c r="X44">
        <v>5</v>
      </c>
      <c r="Y44">
        <v>3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</v>
      </c>
      <c r="AG44">
        <v>1</v>
      </c>
      <c r="AH44">
        <f t="shared" si="2"/>
        <v>1.3548387096774193</v>
      </c>
      <c r="AI44">
        <f t="shared" si="3"/>
        <v>16</v>
      </c>
    </row>
    <row r="45" spans="2:35" x14ac:dyDescent="0.25">
      <c r="B45" t="s">
        <v>34</v>
      </c>
      <c r="C45">
        <v>0</v>
      </c>
      <c r="D45">
        <v>0</v>
      </c>
      <c r="E45">
        <v>3</v>
      </c>
      <c r="F45">
        <v>1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1</v>
      </c>
      <c r="AA45">
        <v>2</v>
      </c>
      <c r="AB45">
        <v>2</v>
      </c>
      <c r="AC45">
        <v>0</v>
      </c>
      <c r="AD45">
        <v>0</v>
      </c>
      <c r="AE45">
        <v>5</v>
      </c>
      <c r="AF45">
        <v>2</v>
      </c>
      <c r="AG45">
        <v>4</v>
      </c>
      <c r="AH45">
        <f t="shared" si="2"/>
        <v>0.90322580645161288</v>
      </c>
      <c r="AI45">
        <f t="shared" si="3"/>
        <v>16</v>
      </c>
    </row>
    <row r="46" spans="2:35" x14ac:dyDescent="0.25">
      <c r="B46" t="s">
        <v>144</v>
      </c>
      <c r="C46">
        <v>2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2</v>
      </c>
      <c r="O46">
        <v>1</v>
      </c>
      <c r="P46">
        <v>1</v>
      </c>
      <c r="Q46">
        <v>2</v>
      </c>
      <c r="R46">
        <v>0</v>
      </c>
      <c r="S46">
        <v>0</v>
      </c>
      <c r="T46">
        <v>0</v>
      </c>
      <c r="U46">
        <v>1</v>
      </c>
      <c r="V46">
        <v>5</v>
      </c>
      <c r="W46">
        <v>1</v>
      </c>
      <c r="X46">
        <v>0</v>
      </c>
      <c r="Y46">
        <v>3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f t="shared" si="2"/>
        <v>0.77419354838709675</v>
      </c>
      <c r="AI46">
        <f t="shared" si="3"/>
        <v>16</v>
      </c>
    </row>
    <row r="47" spans="2:35" x14ac:dyDescent="0.25">
      <c r="B47" t="s">
        <v>125</v>
      </c>
      <c r="C47">
        <v>0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32</v>
      </c>
      <c r="W47">
        <v>47</v>
      </c>
      <c r="X47">
        <v>72</v>
      </c>
      <c r="Y47">
        <v>16</v>
      </c>
      <c r="Z47">
        <v>33</v>
      </c>
      <c r="AA47">
        <v>15</v>
      </c>
      <c r="AB47">
        <v>446</v>
      </c>
      <c r="AC47">
        <v>1019</v>
      </c>
      <c r="AD47">
        <v>1023</v>
      </c>
      <c r="AE47">
        <v>1290</v>
      </c>
      <c r="AF47">
        <v>1347</v>
      </c>
      <c r="AG47">
        <v>1467</v>
      </c>
      <c r="AH47">
        <f t="shared" si="2"/>
        <v>219.70967741935485</v>
      </c>
      <c r="AI47">
        <f t="shared" si="3"/>
        <v>18</v>
      </c>
    </row>
    <row r="48" spans="2:35" x14ac:dyDescent="0.25">
      <c r="B48" t="s">
        <v>220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14</v>
      </c>
      <c r="K48">
        <v>15</v>
      </c>
      <c r="L48">
        <v>33</v>
      </c>
      <c r="M48">
        <v>0</v>
      </c>
      <c r="N48">
        <v>1</v>
      </c>
      <c r="O48">
        <v>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111</v>
      </c>
      <c r="X48">
        <v>16</v>
      </c>
      <c r="Y48">
        <v>310</v>
      </c>
      <c r="Z48">
        <v>14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237</v>
      </c>
      <c r="AG48">
        <v>127</v>
      </c>
      <c r="AH48">
        <f t="shared" si="2"/>
        <v>29.06451612903226</v>
      </c>
      <c r="AI48">
        <f t="shared" si="3"/>
        <v>18</v>
      </c>
    </row>
    <row r="49" spans="2:35" x14ac:dyDescent="0.25">
      <c r="B49" t="s">
        <v>173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</v>
      </c>
      <c r="Q49">
        <v>0</v>
      </c>
      <c r="R49">
        <v>1</v>
      </c>
      <c r="S49">
        <v>16</v>
      </c>
      <c r="T49">
        <v>3</v>
      </c>
      <c r="U49">
        <v>0</v>
      </c>
      <c r="V49">
        <v>19</v>
      </c>
      <c r="W49">
        <v>21</v>
      </c>
      <c r="X49">
        <v>6</v>
      </c>
      <c r="Y49">
        <v>6</v>
      </c>
      <c r="Z49">
        <v>4</v>
      </c>
      <c r="AA49">
        <v>0</v>
      </c>
      <c r="AB49">
        <v>0</v>
      </c>
      <c r="AC49">
        <v>0</v>
      </c>
      <c r="AD49">
        <v>9</v>
      </c>
      <c r="AE49">
        <v>1</v>
      </c>
      <c r="AF49">
        <v>22</v>
      </c>
      <c r="AG49">
        <v>27</v>
      </c>
      <c r="AH49">
        <f t="shared" si="2"/>
        <v>4.5483870967741939</v>
      </c>
      <c r="AI49">
        <f t="shared" si="3"/>
        <v>18</v>
      </c>
    </row>
    <row r="50" spans="2:35" x14ac:dyDescent="0.25">
      <c r="B50" t="s">
        <v>65</v>
      </c>
      <c r="C50">
        <v>0</v>
      </c>
      <c r="D50">
        <v>1</v>
      </c>
      <c r="E50">
        <v>0</v>
      </c>
      <c r="F50">
        <v>0</v>
      </c>
      <c r="G50">
        <v>1</v>
      </c>
      <c r="H50">
        <v>14</v>
      </c>
      <c r="I50">
        <v>0</v>
      </c>
      <c r="J50">
        <v>0</v>
      </c>
      <c r="K50">
        <v>19</v>
      </c>
      <c r="L50">
        <v>0</v>
      </c>
      <c r="M50">
        <v>0</v>
      </c>
      <c r="N50">
        <v>1</v>
      </c>
      <c r="O50">
        <v>0</v>
      </c>
      <c r="P50">
        <v>5</v>
      </c>
      <c r="Q50">
        <v>1</v>
      </c>
      <c r="R50">
        <v>0</v>
      </c>
      <c r="S50">
        <v>0</v>
      </c>
      <c r="T50">
        <v>1</v>
      </c>
      <c r="U50">
        <v>0</v>
      </c>
      <c r="V50">
        <v>3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2"/>
        <v>1.5806451612903225</v>
      </c>
      <c r="AI50">
        <f t="shared" si="3"/>
        <v>19</v>
      </c>
    </row>
    <row r="51" spans="2:35" x14ac:dyDescent="0.25">
      <c r="B51" t="s">
        <v>205</v>
      </c>
      <c r="C51">
        <v>0</v>
      </c>
      <c r="D51">
        <v>5</v>
      </c>
      <c r="E51">
        <v>2</v>
      </c>
      <c r="F51">
        <v>0</v>
      </c>
      <c r="G51">
        <v>1</v>
      </c>
      <c r="H51">
        <v>5</v>
      </c>
      <c r="I51">
        <v>7</v>
      </c>
      <c r="J51">
        <v>8</v>
      </c>
      <c r="K51">
        <v>1</v>
      </c>
      <c r="L51">
        <v>2</v>
      </c>
      <c r="M51">
        <v>0</v>
      </c>
      <c r="N51">
        <v>0</v>
      </c>
      <c r="O51">
        <v>4</v>
      </c>
      <c r="P51">
        <v>4</v>
      </c>
      <c r="Q51">
        <v>2</v>
      </c>
      <c r="R51">
        <v>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2"/>
        <v>1.4193548387096775</v>
      </c>
      <c r="AI51">
        <f t="shared" si="3"/>
        <v>19</v>
      </c>
    </row>
    <row r="52" spans="2:35" x14ac:dyDescent="0.25">
      <c r="B52" t="s">
        <v>97</v>
      </c>
      <c r="C52">
        <v>0</v>
      </c>
      <c r="D52">
        <v>1</v>
      </c>
      <c r="E52">
        <v>2</v>
      </c>
      <c r="F52">
        <v>0</v>
      </c>
      <c r="G52">
        <v>0</v>
      </c>
      <c r="H52">
        <v>0</v>
      </c>
      <c r="I52">
        <v>5</v>
      </c>
      <c r="J52">
        <v>0</v>
      </c>
      <c r="K52">
        <v>0</v>
      </c>
      <c r="L52">
        <v>4</v>
      </c>
      <c r="M52">
        <v>0</v>
      </c>
      <c r="N52">
        <v>0</v>
      </c>
      <c r="O52">
        <v>1</v>
      </c>
      <c r="P52">
        <v>0</v>
      </c>
      <c r="Q52">
        <v>4</v>
      </c>
      <c r="R52">
        <v>0</v>
      </c>
      <c r="S52">
        <v>1</v>
      </c>
      <c r="T52">
        <v>0</v>
      </c>
      <c r="U52">
        <v>0</v>
      </c>
      <c r="V52">
        <v>0</v>
      </c>
      <c r="W52">
        <v>2</v>
      </c>
      <c r="X52">
        <v>1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f t="shared" si="2"/>
        <v>0.77419354838709675</v>
      </c>
      <c r="AI52">
        <f t="shared" si="3"/>
        <v>19</v>
      </c>
    </row>
    <row r="53" spans="2:35" x14ac:dyDescent="0.25">
      <c r="B53" t="s">
        <v>116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</v>
      </c>
      <c r="Y53">
        <v>1</v>
      </c>
      <c r="Z53">
        <v>0</v>
      </c>
      <c r="AA53">
        <v>3</v>
      </c>
      <c r="AB53">
        <v>2</v>
      </c>
      <c r="AC53">
        <v>2</v>
      </c>
      <c r="AD53">
        <v>1</v>
      </c>
      <c r="AE53">
        <v>2</v>
      </c>
      <c r="AF53">
        <v>2</v>
      </c>
      <c r="AG53">
        <v>0</v>
      </c>
      <c r="AH53">
        <f t="shared" si="2"/>
        <v>0.67741935483870963</v>
      </c>
      <c r="AI53">
        <f t="shared" si="3"/>
        <v>19</v>
      </c>
    </row>
    <row r="54" spans="2:35" x14ac:dyDescent="0.25">
      <c r="B54" t="s">
        <v>76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13</v>
      </c>
      <c r="Q54">
        <v>22</v>
      </c>
      <c r="R54">
        <v>11</v>
      </c>
      <c r="S54">
        <v>2</v>
      </c>
      <c r="T54">
        <v>9</v>
      </c>
      <c r="U54">
        <v>0</v>
      </c>
      <c r="V54">
        <v>2</v>
      </c>
      <c r="W54">
        <v>11</v>
      </c>
      <c r="X54">
        <v>0</v>
      </c>
      <c r="Y54">
        <v>4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11</v>
      </c>
      <c r="AG54">
        <v>7</v>
      </c>
      <c r="AH54">
        <f t="shared" si="2"/>
        <v>3.032258064516129</v>
      </c>
      <c r="AI54">
        <f t="shared" si="3"/>
        <v>20</v>
      </c>
    </row>
    <row r="55" spans="2:35" x14ac:dyDescent="0.25">
      <c r="B55" t="s">
        <v>60</v>
      </c>
      <c r="C55">
        <v>0</v>
      </c>
      <c r="D55">
        <v>14</v>
      </c>
      <c r="E55">
        <v>0</v>
      </c>
      <c r="F55">
        <v>0</v>
      </c>
      <c r="G55">
        <v>0</v>
      </c>
      <c r="H55">
        <v>1</v>
      </c>
      <c r="I55">
        <v>10</v>
      </c>
      <c r="J55">
        <v>14</v>
      </c>
      <c r="K55">
        <v>6</v>
      </c>
      <c r="L55">
        <v>1</v>
      </c>
      <c r="M55">
        <v>0</v>
      </c>
      <c r="N55">
        <v>0</v>
      </c>
      <c r="O55">
        <v>3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5</v>
      </c>
      <c r="AH55">
        <f t="shared" si="2"/>
        <v>1.967741935483871</v>
      </c>
      <c r="AI55">
        <f t="shared" si="3"/>
        <v>20</v>
      </c>
    </row>
    <row r="56" spans="2:35" x14ac:dyDescent="0.25">
      <c r="B56" t="s">
        <v>197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14</v>
      </c>
      <c r="W56">
        <v>1</v>
      </c>
      <c r="X56">
        <v>2</v>
      </c>
      <c r="Y56">
        <v>2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0</v>
      </c>
      <c r="AH56">
        <f t="shared" si="2"/>
        <v>0.90322580645161288</v>
      </c>
      <c r="AI56">
        <f t="shared" si="3"/>
        <v>20</v>
      </c>
    </row>
    <row r="57" spans="2:35" x14ac:dyDescent="0.25">
      <c r="B57" t="s">
        <v>200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1</v>
      </c>
      <c r="Z57">
        <v>3</v>
      </c>
      <c r="AA57">
        <v>3</v>
      </c>
      <c r="AB57">
        <v>1</v>
      </c>
      <c r="AC57">
        <v>1</v>
      </c>
      <c r="AD57">
        <v>1</v>
      </c>
      <c r="AE57">
        <v>2</v>
      </c>
      <c r="AF57">
        <v>2</v>
      </c>
      <c r="AG57">
        <v>5</v>
      </c>
      <c r="AH57">
        <f t="shared" si="2"/>
        <v>0.70967741935483875</v>
      </c>
      <c r="AI57">
        <f t="shared" si="3"/>
        <v>20</v>
      </c>
    </row>
    <row r="58" spans="2:35" x14ac:dyDescent="0.25">
      <c r="B58" t="s">
        <v>208</v>
      </c>
      <c r="C58">
        <v>0</v>
      </c>
      <c r="D58">
        <v>0</v>
      </c>
      <c r="E58">
        <v>0</v>
      </c>
      <c r="F58">
        <v>0</v>
      </c>
      <c r="G58">
        <v>0</v>
      </c>
      <c r="H58">
        <v>5</v>
      </c>
      <c r="I58">
        <v>20</v>
      </c>
      <c r="J58">
        <v>3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1</v>
      </c>
      <c r="AH58">
        <f t="shared" si="2"/>
        <v>1.1612903225806452</v>
      </c>
      <c r="AI58">
        <f t="shared" si="3"/>
        <v>21</v>
      </c>
    </row>
    <row r="59" spans="2:35" x14ac:dyDescent="0.25">
      <c r="B59" t="s">
        <v>127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</v>
      </c>
      <c r="Z59">
        <v>1</v>
      </c>
      <c r="AA59">
        <v>2</v>
      </c>
      <c r="AB59">
        <v>2</v>
      </c>
      <c r="AC59">
        <v>1</v>
      </c>
      <c r="AD59">
        <v>1</v>
      </c>
      <c r="AE59">
        <v>2</v>
      </c>
      <c r="AF59">
        <v>2</v>
      </c>
      <c r="AG59">
        <v>1</v>
      </c>
      <c r="AH59">
        <f t="shared" si="2"/>
        <v>0.5161290322580645</v>
      </c>
      <c r="AI59">
        <f t="shared" si="3"/>
        <v>21</v>
      </c>
    </row>
    <row r="60" spans="2:35" x14ac:dyDescent="0.25">
      <c r="B60" t="s">
        <v>221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2</v>
      </c>
      <c r="AA60">
        <v>3</v>
      </c>
      <c r="AB60">
        <v>1</v>
      </c>
      <c r="AC60">
        <v>1</v>
      </c>
      <c r="AD60">
        <v>1</v>
      </c>
      <c r="AE60">
        <v>3</v>
      </c>
      <c r="AF60">
        <v>1</v>
      </c>
      <c r="AG60">
        <v>1</v>
      </c>
      <c r="AH60">
        <f t="shared" si="2"/>
        <v>0.5161290322580645</v>
      </c>
      <c r="AI60">
        <f t="shared" si="3"/>
        <v>21</v>
      </c>
    </row>
    <row r="61" spans="2:35" x14ac:dyDescent="0.25">
      <c r="B61" t="s">
        <v>217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4</v>
      </c>
      <c r="K61">
        <v>1</v>
      </c>
      <c r="L61">
        <v>0</v>
      </c>
      <c r="M61">
        <v>0</v>
      </c>
      <c r="N61">
        <v>0</v>
      </c>
      <c r="O61">
        <v>0</v>
      </c>
      <c r="P61">
        <v>2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6</v>
      </c>
      <c r="AG61">
        <v>0</v>
      </c>
      <c r="AH61">
        <f t="shared" si="2"/>
        <v>0.87096774193548387</v>
      </c>
      <c r="AI61">
        <f t="shared" si="3"/>
        <v>22</v>
      </c>
    </row>
    <row r="62" spans="2:35" x14ac:dyDescent="0.25">
      <c r="B62" t="s">
        <v>84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2</v>
      </c>
      <c r="R62">
        <v>2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f t="shared" si="2"/>
        <v>0.61290322580645162</v>
      </c>
      <c r="AI62">
        <f t="shared" si="3"/>
        <v>22</v>
      </c>
    </row>
    <row r="63" spans="2:35" x14ac:dyDescent="0.25">
      <c r="B63" t="s">
        <v>98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2</v>
      </c>
      <c r="AB63">
        <v>1</v>
      </c>
      <c r="AC63">
        <v>1</v>
      </c>
      <c r="AD63">
        <v>1</v>
      </c>
      <c r="AE63">
        <v>3</v>
      </c>
      <c r="AF63">
        <v>1</v>
      </c>
      <c r="AG63">
        <v>1</v>
      </c>
      <c r="AH63">
        <f t="shared" si="2"/>
        <v>0.41935483870967744</v>
      </c>
      <c r="AI63">
        <f t="shared" si="3"/>
        <v>22</v>
      </c>
    </row>
    <row r="64" spans="2:35" x14ac:dyDescent="0.25">
      <c r="B64" t="s">
        <v>175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7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f t="shared" si="2"/>
        <v>0.54838709677419351</v>
      </c>
      <c r="AI64">
        <f t="shared" si="3"/>
        <v>23</v>
      </c>
    </row>
    <row r="65" spans="2:35" x14ac:dyDescent="0.25">
      <c r="B65" t="s">
        <v>36</v>
      </c>
      <c r="C65">
        <v>0</v>
      </c>
      <c r="D65">
        <v>0</v>
      </c>
      <c r="E65">
        <v>2</v>
      </c>
      <c r="F65">
        <v>0</v>
      </c>
      <c r="G65">
        <v>0</v>
      </c>
      <c r="H65">
        <v>3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5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f t="shared" si="2"/>
        <v>0.5161290322580645</v>
      </c>
      <c r="AI65">
        <f t="shared" si="3"/>
        <v>23</v>
      </c>
    </row>
    <row r="66" spans="2:35" x14ac:dyDescent="0.25">
      <c r="B66" t="s">
        <v>157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3</v>
      </c>
      <c r="AE66">
        <v>2</v>
      </c>
      <c r="AF66">
        <v>1</v>
      </c>
      <c r="AG66">
        <v>0</v>
      </c>
      <c r="AH66">
        <f t="shared" si="2"/>
        <v>0.41935483870967744</v>
      </c>
      <c r="AI66">
        <f t="shared" si="3"/>
        <v>23</v>
      </c>
    </row>
    <row r="67" spans="2:35" x14ac:dyDescent="0.25">
      <c r="B67" t="s">
        <v>219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1</v>
      </c>
      <c r="W67">
        <v>0</v>
      </c>
      <c r="X67">
        <v>2</v>
      </c>
      <c r="Y67">
        <v>1</v>
      </c>
      <c r="Z67">
        <v>2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f t="shared" si="2"/>
        <v>0.35483870967741937</v>
      </c>
      <c r="AI67">
        <f t="shared" si="3"/>
        <v>23</v>
      </c>
    </row>
    <row r="68" spans="2:35" x14ac:dyDescent="0.25">
      <c r="B68" t="s">
        <v>209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f t="shared" ref="AH68:AH99" si="4">AVERAGE(C68:AG68)</f>
        <v>0.29032258064516131</v>
      </c>
      <c r="AI68">
        <f t="shared" ref="AI68:AI99" si="5">COUNTIF(C68:AG68,"0")</f>
        <v>23</v>
      </c>
    </row>
    <row r="69" spans="2:35" x14ac:dyDescent="0.25">
      <c r="B69" t="s">
        <v>182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33</v>
      </c>
      <c r="X69">
        <v>5</v>
      </c>
      <c r="Y69">
        <v>5</v>
      </c>
      <c r="Z69">
        <v>14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17</v>
      </c>
      <c r="AG69">
        <v>12</v>
      </c>
      <c r="AH69">
        <f t="shared" si="4"/>
        <v>2.806451612903226</v>
      </c>
      <c r="AI69">
        <f t="shared" si="5"/>
        <v>24</v>
      </c>
    </row>
    <row r="70" spans="2:35" x14ac:dyDescent="0.25">
      <c r="B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0</v>
      </c>
      <c r="X70">
        <v>4</v>
      </c>
      <c r="Y70">
        <v>1</v>
      </c>
      <c r="Z70">
        <v>0</v>
      </c>
      <c r="AA70">
        <v>3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f t="shared" si="4"/>
        <v>0.4838709677419355</v>
      </c>
      <c r="AI70">
        <f t="shared" si="5"/>
        <v>24</v>
      </c>
    </row>
    <row r="71" spans="2:35" x14ac:dyDescent="0.25">
      <c r="B71" t="s">
        <v>63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2</v>
      </c>
      <c r="AG71">
        <v>0</v>
      </c>
      <c r="AH71">
        <f t="shared" si="4"/>
        <v>0.38709677419354838</v>
      </c>
      <c r="AI71">
        <f t="shared" si="5"/>
        <v>24</v>
      </c>
    </row>
    <row r="72" spans="2:35" x14ac:dyDescent="0.25">
      <c r="B72" t="s">
        <v>39</v>
      </c>
      <c r="C72">
        <v>1</v>
      </c>
      <c r="D72">
        <v>0</v>
      </c>
      <c r="E72">
        <v>0</v>
      </c>
      <c r="F72">
        <v>0</v>
      </c>
      <c r="G72">
        <v>0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f t="shared" si="4"/>
        <v>0.25806451612903225</v>
      </c>
      <c r="AI72">
        <f t="shared" si="5"/>
        <v>24</v>
      </c>
    </row>
    <row r="73" spans="2:35" x14ac:dyDescent="0.25">
      <c r="B73" t="s">
        <v>124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7</v>
      </c>
      <c r="X73">
        <v>4</v>
      </c>
      <c r="Y73">
        <v>11</v>
      </c>
      <c r="Z73">
        <v>11</v>
      </c>
      <c r="AA73">
        <v>2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f t="shared" si="4"/>
        <v>1.1612903225806452</v>
      </c>
      <c r="AI73">
        <f t="shared" si="5"/>
        <v>25</v>
      </c>
    </row>
    <row r="74" spans="2:35" x14ac:dyDescent="0.25">
      <c r="B74" t="s">
        <v>160</v>
      </c>
      <c r="C74">
        <v>0</v>
      </c>
      <c r="D74">
        <v>8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f t="shared" si="4"/>
        <v>0.54838709677419351</v>
      </c>
      <c r="AI74">
        <f t="shared" si="5"/>
        <v>25</v>
      </c>
    </row>
    <row r="75" spans="2:35" x14ac:dyDescent="0.25">
      <c r="B75" t="s">
        <v>222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f t="shared" si="4"/>
        <v>0.38709677419354838</v>
      </c>
      <c r="AI75">
        <f t="shared" si="5"/>
        <v>25</v>
      </c>
    </row>
    <row r="76" spans="2:35" x14ac:dyDescent="0.25">
      <c r="B76" t="s">
        <v>193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f t="shared" si="4"/>
        <v>0.22580645161290322</v>
      </c>
      <c r="AI76">
        <f t="shared" si="5"/>
        <v>25</v>
      </c>
    </row>
    <row r="77" spans="2:35" x14ac:dyDescent="0.25">
      <c r="B77" t="s">
        <v>158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f t="shared" si="4"/>
        <v>0.19354838709677419</v>
      </c>
      <c r="AI77">
        <f t="shared" si="5"/>
        <v>25</v>
      </c>
    </row>
    <row r="78" spans="2:35" x14ac:dyDescent="0.25">
      <c r="B78" t="s">
        <v>194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f t="shared" si="4"/>
        <v>0.41935483870967744</v>
      </c>
      <c r="AI78">
        <f t="shared" si="5"/>
        <v>26</v>
      </c>
    </row>
    <row r="79" spans="2:35" x14ac:dyDescent="0.25">
      <c r="B79" t="s">
        <v>80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</v>
      </c>
      <c r="AG79">
        <v>1</v>
      </c>
      <c r="AH79">
        <f t="shared" si="4"/>
        <v>0.38709677419354838</v>
      </c>
      <c r="AI79">
        <f t="shared" si="5"/>
        <v>26</v>
      </c>
    </row>
    <row r="80" spans="2:35" x14ac:dyDescent="0.25">
      <c r="B80" t="s">
        <v>211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5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f t="shared" si="4"/>
        <v>0.35483870967741937</v>
      </c>
      <c r="AI80">
        <f t="shared" si="5"/>
        <v>26</v>
      </c>
    </row>
    <row r="81" spans="2:35" x14ac:dyDescent="0.25">
      <c r="B81" t="s">
        <v>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f t="shared" si="4"/>
        <v>0.29032258064516131</v>
      </c>
      <c r="AI81">
        <f t="shared" si="5"/>
        <v>26</v>
      </c>
    </row>
    <row r="82" spans="2:35" x14ac:dyDescent="0.25">
      <c r="B82" t="s">
        <v>111</v>
      </c>
      <c r="C82">
        <v>2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f t="shared" si="4"/>
        <v>0.29032258064516131</v>
      </c>
      <c r="AI82">
        <f t="shared" si="5"/>
        <v>26</v>
      </c>
    </row>
    <row r="83" spans="2:35" x14ac:dyDescent="0.25">
      <c r="B83" t="s">
        <v>100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4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 t="shared" si="4"/>
        <v>0.25806451612903225</v>
      </c>
      <c r="AI83">
        <f t="shared" si="5"/>
        <v>26</v>
      </c>
    </row>
    <row r="84" spans="2:35" x14ac:dyDescent="0.25">
      <c r="B84" t="s">
        <v>64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2</v>
      </c>
      <c r="AG84">
        <v>1</v>
      </c>
      <c r="AH84">
        <f t="shared" si="4"/>
        <v>0.19354838709677419</v>
      </c>
      <c r="AI84">
        <f t="shared" si="5"/>
        <v>26</v>
      </c>
    </row>
    <row r="85" spans="2:35" x14ac:dyDescent="0.25">
      <c r="B85" t="s">
        <v>148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7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f t="shared" si="4"/>
        <v>0.32258064516129031</v>
      </c>
      <c r="AI85">
        <f t="shared" si="5"/>
        <v>27</v>
      </c>
    </row>
    <row r="86" spans="2:35" x14ac:dyDescent="0.25">
      <c r="B86" t="s">
        <v>62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f t="shared" si="4"/>
        <v>0.25806451612903225</v>
      </c>
      <c r="AI86">
        <f t="shared" si="5"/>
        <v>27</v>
      </c>
    </row>
    <row r="87" spans="2:35" x14ac:dyDescent="0.25">
      <c r="B87" t="s">
        <v>94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f t="shared" si="4"/>
        <v>0.25806451612903225</v>
      </c>
      <c r="AI87">
        <f t="shared" si="5"/>
        <v>27</v>
      </c>
    </row>
    <row r="88" spans="2:35" x14ac:dyDescent="0.25">
      <c r="B88" t="s">
        <v>145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</v>
      </c>
      <c r="V88">
        <v>0</v>
      </c>
      <c r="W88">
        <v>0</v>
      </c>
      <c r="X88">
        <v>3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f t="shared" si="4"/>
        <v>0.25806451612903225</v>
      </c>
      <c r="AI88">
        <f t="shared" si="5"/>
        <v>27</v>
      </c>
    </row>
    <row r="89" spans="2:35" x14ac:dyDescent="0.25">
      <c r="B89" t="s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f t="shared" si="4"/>
        <v>0.19354838709677419</v>
      </c>
      <c r="AI89">
        <f t="shared" si="5"/>
        <v>27</v>
      </c>
    </row>
    <row r="90" spans="2:35" x14ac:dyDescent="0.25">
      <c r="B90" t="s">
        <v>93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f t="shared" si="4"/>
        <v>0.19354838709677419</v>
      </c>
      <c r="AI90">
        <f t="shared" si="5"/>
        <v>27</v>
      </c>
    </row>
    <row r="91" spans="2:35" x14ac:dyDescent="0.25">
      <c r="B91" t="s">
        <v>109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f t="shared" si="4"/>
        <v>0.16129032258064516</v>
      </c>
      <c r="AI91">
        <f t="shared" si="5"/>
        <v>27</v>
      </c>
    </row>
    <row r="92" spans="2:35" x14ac:dyDescent="0.25">
      <c r="B92" t="s">
        <v>120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f t="shared" si="4"/>
        <v>0.16129032258064516</v>
      </c>
      <c r="AI92">
        <f t="shared" si="5"/>
        <v>27</v>
      </c>
    </row>
    <row r="93" spans="2:35" x14ac:dyDescent="0.25">
      <c r="B93" t="s">
        <v>37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f t="shared" si="4"/>
        <v>0.12903225806451613</v>
      </c>
      <c r="AI93">
        <f t="shared" si="5"/>
        <v>27</v>
      </c>
    </row>
    <row r="94" spans="2:35" x14ac:dyDescent="0.25">
      <c r="B94" t="s">
        <v>115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f t="shared" si="4"/>
        <v>0.12903225806451613</v>
      </c>
      <c r="AI94">
        <f t="shared" si="5"/>
        <v>27</v>
      </c>
    </row>
    <row r="95" spans="2:35" x14ac:dyDescent="0.25">
      <c r="B95" t="s">
        <v>132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18</v>
      </c>
      <c r="W95">
        <v>1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 t="shared" si="4"/>
        <v>0.70967741935483875</v>
      </c>
      <c r="AI95">
        <f t="shared" si="5"/>
        <v>28</v>
      </c>
    </row>
    <row r="96" spans="2:35" x14ac:dyDescent="0.25">
      <c r="B96" t="s">
        <v>73</v>
      </c>
      <c r="C96">
        <v>0</v>
      </c>
      <c r="D96">
        <v>0</v>
      </c>
      <c r="E96">
        <v>0</v>
      </c>
      <c r="F96">
        <v>1</v>
      </c>
      <c r="G96">
        <v>2</v>
      </c>
      <c r="H96">
        <v>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f t="shared" si="4"/>
        <v>0.35483870967741937</v>
      </c>
      <c r="AI96">
        <f t="shared" si="5"/>
        <v>28</v>
      </c>
    </row>
    <row r="97" spans="2:35" x14ac:dyDescent="0.25">
      <c r="B97" t="s">
        <v>89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3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f t="shared" si="4"/>
        <v>0.22580645161290322</v>
      </c>
      <c r="AI97">
        <f t="shared" si="5"/>
        <v>28</v>
      </c>
    </row>
    <row r="98" spans="2:35" x14ac:dyDescent="0.25">
      <c r="B98" t="s">
        <v>198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 t="shared" si="4"/>
        <v>0.22580645161290322</v>
      </c>
      <c r="AI98">
        <f t="shared" si="5"/>
        <v>28</v>
      </c>
    </row>
    <row r="99" spans="2:35" x14ac:dyDescent="0.25">
      <c r="B99" t="s">
        <v>96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 t="shared" si="4"/>
        <v>0.16129032258064516</v>
      </c>
      <c r="AI99">
        <f t="shared" si="5"/>
        <v>28</v>
      </c>
    </row>
    <row r="100" spans="2:35" x14ac:dyDescent="0.25">
      <c r="B100" t="s">
        <v>186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 t="shared" ref="AH100:AH131" si="6">AVERAGE(C100:AG100)</f>
        <v>0.16129032258064516</v>
      </c>
      <c r="AI100">
        <f t="shared" ref="AI100:AI131" si="7">COUNTIF(C100:AG100,"0")</f>
        <v>28</v>
      </c>
    </row>
    <row r="101" spans="2:35" x14ac:dyDescent="0.25">
      <c r="B101" t="s">
        <v>213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 t="shared" si="6"/>
        <v>0.16129032258064516</v>
      </c>
      <c r="AI101">
        <f t="shared" si="7"/>
        <v>28</v>
      </c>
    </row>
    <row r="102" spans="2:35" x14ac:dyDescent="0.25">
      <c r="B102" t="s">
        <v>85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f t="shared" si="6"/>
        <v>0.12903225806451613</v>
      </c>
      <c r="AI102">
        <f t="shared" si="7"/>
        <v>28</v>
      </c>
    </row>
    <row r="103" spans="2:35" x14ac:dyDescent="0.25">
      <c r="B103" t="s">
        <v>149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 t="shared" si="6"/>
        <v>0.12903225806451613</v>
      </c>
      <c r="AI103">
        <f t="shared" si="7"/>
        <v>28</v>
      </c>
    </row>
    <row r="104" spans="2:35" x14ac:dyDescent="0.25">
      <c r="B104" t="s">
        <v>107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f t="shared" si="6"/>
        <v>9.6774193548387094E-2</v>
      </c>
      <c r="AI104">
        <f t="shared" si="7"/>
        <v>28</v>
      </c>
    </row>
    <row r="105" spans="2:35" x14ac:dyDescent="0.25">
      <c r="B105" t="s">
        <v>204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f t="shared" si="6"/>
        <v>9.6774193548387094E-2</v>
      </c>
      <c r="AI105">
        <f t="shared" si="7"/>
        <v>28</v>
      </c>
    </row>
    <row r="106" spans="2:35" x14ac:dyDescent="0.25">
      <c r="B106" t="s">
        <v>68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f t="shared" si="6"/>
        <v>0.12903225806451613</v>
      </c>
      <c r="AI106">
        <f t="shared" si="7"/>
        <v>29</v>
      </c>
    </row>
    <row r="107" spans="2:35" x14ac:dyDescent="0.25">
      <c r="B107" t="s">
        <v>142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 t="shared" si="6"/>
        <v>9.6774193548387094E-2</v>
      </c>
      <c r="AI107">
        <f t="shared" si="7"/>
        <v>29</v>
      </c>
    </row>
    <row r="108" spans="2:35" x14ac:dyDescent="0.25">
      <c r="B108" t="s">
        <v>207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 t="shared" si="6"/>
        <v>9.6774193548387094E-2</v>
      </c>
      <c r="AI108">
        <f t="shared" si="7"/>
        <v>29</v>
      </c>
    </row>
    <row r="109" spans="2:35" x14ac:dyDescent="0.25">
      <c r="B109" t="s">
        <v>88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f t="shared" si="6"/>
        <v>6.4516129032258063E-2</v>
      </c>
      <c r="AI109">
        <f t="shared" si="7"/>
        <v>29</v>
      </c>
    </row>
    <row r="110" spans="2:35" x14ac:dyDescent="0.25">
      <c r="B110" t="s">
        <v>137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 t="shared" si="6"/>
        <v>6.4516129032258063E-2</v>
      </c>
      <c r="AI110">
        <f t="shared" si="7"/>
        <v>29</v>
      </c>
    </row>
    <row r="111" spans="2:35" x14ac:dyDescent="0.25">
      <c r="B111" t="s">
        <v>212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f t="shared" si="6"/>
        <v>0.35483870967741937</v>
      </c>
      <c r="AI111">
        <f t="shared" si="7"/>
        <v>30</v>
      </c>
    </row>
    <row r="112" spans="2:35" x14ac:dyDescent="0.25">
      <c r="B112" t="s">
        <v>146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f t="shared" si="6"/>
        <v>0.25806451612903225</v>
      </c>
      <c r="AI112">
        <f t="shared" si="7"/>
        <v>30</v>
      </c>
    </row>
    <row r="113" spans="2:35" x14ac:dyDescent="0.25">
      <c r="B113" t="s">
        <v>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f t="shared" si="6"/>
        <v>0.19354838709677419</v>
      </c>
      <c r="AI113">
        <f t="shared" si="7"/>
        <v>30</v>
      </c>
    </row>
    <row r="114" spans="2:35" x14ac:dyDescent="0.25"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 t="shared" si="6"/>
        <v>6.4516129032258063E-2</v>
      </c>
      <c r="AI114">
        <f t="shared" si="7"/>
        <v>30</v>
      </c>
    </row>
    <row r="115" spans="2:35" x14ac:dyDescent="0.25">
      <c r="B115" t="s">
        <v>108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 t="shared" si="6"/>
        <v>6.4516129032258063E-2</v>
      </c>
      <c r="AI115">
        <f t="shared" si="7"/>
        <v>30</v>
      </c>
    </row>
    <row r="116" spans="2:35" x14ac:dyDescent="0.25">
      <c r="B116" t="s">
        <v>171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f t="shared" si="6"/>
        <v>6.4516129032258063E-2</v>
      </c>
      <c r="AI116">
        <f t="shared" si="7"/>
        <v>30</v>
      </c>
    </row>
    <row r="117" spans="2:35" x14ac:dyDescent="0.25">
      <c r="B117" t="s">
        <v>38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 t="shared" si="6"/>
        <v>3.2258064516129031E-2</v>
      </c>
      <c r="AI117">
        <f t="shared" si="7"/>
        <v>30</v>
      </c>
    </row>
    <row r="118" spans="2:35" x14ac:dyDescent="0.25">
      <c r="B118" t="s">
        <v>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 t="shared" si="6"/>
        <v>3.2258064516129031E-2</v>
      </c>
      <c r="AI118">
        <f t="shared" si="7"/>
        <v>30</v>
      </c>
    </row>
    <row r="119" spans="2:35" x14ac:dyDescent="0.25">
      <c r="B119" t="s">
        <v>103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 t="shared" si="6"/>
        <v>3.2258064516129031E-2</v>
      </c>
      <c r="AI119">
        <f t="shared" si="7"/>
        <v>30</v>
      </c>
    </row>
    <row r="120" spans="2:35" x14ac:dyDescent="0.25">
      <c r="B120" t="s">
        <v>117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 t="shared" si="6"/>
        <v>3.2258064516129031E-2</v>
      </c>
      <c r="AI120">
        <f t="shared" si="7"/>
        <v>30</v>
      </c>
    </row>
    <row r="121" spans="2:35" x14ac:dyDescent="0.25">
      <c r="B121" t="s">
        <v>134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 t="shared" si="6"/>
        <v>3.2258064516129031E-2</v>
      </c>
      <c r="AI121">
        <f t="shared" si="7"/>
        <v>30</v>
      </c>
    </row>
    <row r="122" spans="2:35" x14ac:dyDescent="0.25">
      <c r="B122" t="s">
        <v>150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f t="shared" si="6"/>
        <v>3.2258064516129031E-2</v>
      </c>
      <c r="AI122">
        <f t="shared" si="7"/>
        <v>30</v>
      </c>
    </row>
    <row r="123" spans="2:35" x14ac:dyDescent="0.25">
      <c r="B123" t="s">
        <v>153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 t="shared" si="6"/>
        <v>3.2258064516129031E-2</v>
      </c>
      <c r="AI123">
        <f t="shared" si="7"/>
        <v>30</v>
      </c>
    </row>
    <row r="124" spans="2:35" x14ac:dyDescent="0.25">
      <c r="B124" t="s">
        <v>161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 t="shared" si="6"/>
        <v>3.2258064516129031E-2</v>
      </c>
      <c r="AI124">
        <f t="shared" si="7"/>
        <v>30</v>
      </c>
    </row>
    <row r="125" spans="2:35" x14ac:dyDescent="0.25">
      <c r="B125" t="s">
        <v>185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 t="shared" si="6"/>
        <v>3.2258064516129031E-2</v>
      </c>
      <c r="AI125">
        <f t="shared" si="7"/>
        <v>30</v>
      </c>
    </row>
    <row r="126" spans="2:35" x14ac:dyDescent="0.25">
      <c r="B126" t="s">
        <v>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f t="shared" si="6"/>
        <v>0</v>
      </c>
      <c r="AI126">
        <f t="shared" si="7"/>
        <v>31</v>
      </c>
    </row>
    <row r="127" spans="2:35" x14ac:dyDescent="0.25">
      <c r="B127" t="s">
        <v>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f t="shared" si="6"/>
        <v>0</v>
      </c>
      <c r="AI127">
        <f t="shared" si="7"/>
        <v>31</v>
      </c>
    </row>
    <row r="128" spans="2:35" x14ac:dyDescent="0.25">
      <c r="B128" t="s">
        <v>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f t="shared" si="6"/>
        <v>0</v>
      </c>
      <c r="AI128">
        <f t="shared" si="7"/>
        <v>31</v>
      </c>
    </row>
    <row r="129" spans="2:35" x14ac:dyDescent="0.25">
      <c r="B129" t="s">
        <v>42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f t="shared" si="6"/>
        <v>0</v>
      </c>
      <c r="AI129">
        <f t="shared" si="7"/>
        <v>31</v>
      </c>
    </row>
    <row r="130" spans="2:35" x14ac:dyDescent="0.25">
      <c r="B130" t="s">
        <v>43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f t="shared" si="6"/>
        <v>0</v>
      </c>
      <c r="AI130">
        <f t="shared" si="7"/>
        <v>31</v>
      </c>
    </row>
    <row r="131" spans="2:35" x14ac:dyDescent="0.25">
      <c r="B131" t="s">
        <v>44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f t="shared" si="6"/>
        <v>0</v>
      </c>
      <c r="AI131">
        <f t="shared" si="7"/>
        <v>31</v>
      </c>
    </row>
    <row r="132" spans="2:35" x14ac:dyDescent="0.25">
      <c r="B132" t="s">
        <v>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f t="shared" ref="AH132:AH163" si="8">AVERAGE(C132:AG132)</f>
        <v>0</v>
      </c>
      <c r="AI132">
        <f t="shared" ref="AI132:AI163" si="9">COUNTIF(C132:AG132,"0")</f>
        <v>31</v>
      </c>
    </row>
    <row r="133" spans="2:35" x14ac:dyDescent="0.25">
      <c r="B133" t="s">
        <v>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f t="shared" si="8"/>
        <v>0</v>
      </c>
      <c r="AI133">
        <f t="shared" si="9"/>
        <v>31</v>
      </c>
    </row>
    <row r="134" spans="2:35" x14ac:dyDescent="0.25">
      <c r="B134" t="s">
        <v>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f t="shared" si="8"/>
        <v>0</v>
      </c>
      <c r="AI134">
        <f t="shared" si="9"/>
        <v>31</v>
      </c>
    </row>
    <row r="135" spans="2:35" x14ac:dyDescent="0.25">
      <c r="B135" t="s">
        <v>50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f t="shared" si="8"/>
        <v>0</v>
      </c>
      <c r="AI135">
        <f t="shared" si="9"/>
        <v>31</v>
      </c>
    </row>
    <row r="136" spans="2:35" x14ac:dyDescent="0.25">
      <c r="B136" t="s">
        <v>53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f t="shared" si="8"/>
        <v>0</v>
      </c>
      <c r="AI136">
        <f t="shared" si="9"/>
        <v>31</v>
      </c>
    </row>
    <row r="137" spans="2:35" x14ac:dyDescent="0.25">
      <c r="B137" t="s">
        <v>54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f t="shared" si="8"/>
        <v>0</v>
      </c>
      <c r="AI137">
        <f t="shared" si="9"/>
        <v>31</v>
      </c>
    </row>
    <row r="138" spans="2:35" x14ac:dyDescent="0.25">
      <c r="B138" t="s">
        <v>56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f t="shared" si="8"/>
        <v>0</v>
      </c>
      <c r="AI138">
        <f t="shared" si="9"/>
        <v>31</v>
      </c>
    </row>
    <row r="139" spans="2:35" x14ac:dyDescent="0.25">
      <c r="B139" t="s">
        <v>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8"/>
        <v>0</v>
      </c>
      <c r="AI139">
        <f t="shared" si="9"/>
        <v>31</v>
      </c>
    </row>
    <row r="140" spans="2:35" x14ac:dyDescent="0.25">
      <c r="B140" t="s">
        <v>67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f t="shared" si="8"/>
        <v>0</v>
      </c>
      <c r="AI140">
        <f t="shared" si="9"/>
        <v>31</v>
      </c>
    </row>
    <row r="141" spans="2:35" x14ac:dyDescent="0.25">
      <c r="B141" t="s">
        <v>69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f t="shared" si="8"/>
        <v>0</v>
      </c>
      <c r="AI141">
        <f t="shared" si="9"/>
        <v>31</v>
      </c>
    </row>
    <row r="142" spans="2:35" x14ac:dyDescent="0.25">
      <c r="B142" t="s">
        <v>71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f t="shared" si="8"/>
        <v>0</v>
      </c>
      <c r="AI142">
        <f t="shared" si="9"/>
        <v>31</v>
      </c>
    </row>
    <row r="143" spans="2:35" x14ac:dyDescent="0.25">
      <c r="B143" t="s">
        <v>74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f t="shared" si="8"/>
        <v>0</v>
      </c>
      <c r="AI143">
        <f t="shared" si="9"/>
        <v>31</v>
      </c>
    </row>
    <row r="144" spans="2:35" x14ac:dyDescent="0.25">
      <c r="B144" t="s">
        <v>75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f t="shared" si="8"/>
        <v>0</v>
      </c>
      <c r="AI144">
        <f t="shared" si="9"/>
        <v>31</v>
      </c>
    </row>
    <row r="145" spans="2:35" x14ac:dyDescent="0.25">
      <c r="B145" t="s">
        <v>79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 t="shared" si="8"/>
        <v>0</v>
      </c>
      <c r="AI145">
        <f t="shared" si="9"/>
        <v>31</v>
      </c>
    </row>
    <row r="146" spans="2:35" x14ac:dyDescent="0.25">
      <c r="B146" t="s">
        <v>82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f t="shared" si="8"/>
        <v>0</v>
      </c>
      <c r="AI146">
        <f t="shared" si="9"/>
        <v>31</v>
      </c>
    </row>
    <row r="147" spans="2:35" x14ac:dyDescent="0.25">
      <c r="B147" t="s">
        <v>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 t="shared" si="8"/>
        <v>0</v>
      </c>
      <c r="AI147">
        <f t="shared" si="9"/>
        <v>31</v>
      </c>
    </row>
    <row r="148" spans="2:35" x14ac:dyDescent="0.25">
      <c r="B148" t="s">
        <v>87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 t="shared" si="8"/>
        <v>0</v>
      </c>
      <c r="AI148">
        <f t="shared" si="9"/>
        <v>31</v>
      </c>
    </row>
    <row r="149" spans="2:35" x14ac:dyDescent="0.25">
      <c r="B149" t="s">
        <v>91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 t="shared" si="8"/>
        <v>0</v>
      </c>
      <c r="AI149">
        <f t="shared" si="9"/>
        <v>31</v>
      </c>
    </row>
    <row r="150" spans="2:35" x14ac:dyDescent="0.25">
      <c r="B150" t="s">
        <v>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 t="shared" si="8"/>
        <v>0</v>
      </c>
      <c r="AI150">
        <f t="shared" si="9"/>
        <v>31</v>
      </c>
    </row>
    <row r="151" spans="2:35" x14ac:dyDescent="0.25">
      <c r="B151" t="s">
        <v>101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f t="shared" si="8"/>
        <v>0</v>
      </c>
      <c r="AI151">
        <f t="shared" si="9"/>
        <v>31</v>
      </c>
    </row>
    <row r="152" spans="2:35" x14ac:dyDescent="0.25">
      <c r="B152" t="s">
        <v>102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 t="shared" si="8"/>
        <v>0</v>
      </c>
      <c r="AI152">
        <f t="shared" si="9"/>
        <v>31</v>
      </c>
    </row>
    <row r="153" spans="2:35" x14ac:dyDescent="0.25">
      <c r="B153" t="s">
        <v>104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 t="shared" si="8"/>
        <v>0</v>
      </c>
      <c r="AI153">
        <f t="shared" si="9"/>
        <v>31</v>
      </c>
    </row>
    <row r="154" spans="2:35" x14ac:dyDescent="0.25">
      <c r="B154" t="s">
        <v>105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f t="shared" si="8"/>
        <v>0</v>
      </c>
      <c r="AI154">
        <f t="shared" si="9"/>
        <v>31</v>
      </c>
    </row>
    <row r="155" spans="2:35" x14ac:dyDescent="0.25">
      <c r="B155" t="s">
        <v>110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f t="shared" si="8"/>
        <v>0</v>
      </c>
      <c r="AI155">
        <f t="shared" si="9"/>
        <v>31</v>
      </c>
    </row>
    <row r="156" spans="2:35" x14ac:dyDescent="0.25">
      <c r="B156" t="s">
        <v>113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f t="shared" si="8"/>
        <v>0</v>
      </c>
      <c r="AI156">
        <f t="shared" si="9"/>
        <v>31</v>
      </c>
    </row>
    <row r="157" spans="2:35" x14ac:dyDescent="0.25">
      <c r="B157" t="s">
        <v>114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f t="shared" si="8"/>
        <v>0</v>
      </c>
      <c r="AI157">
        <f t="shared" si="9"/>
        <v>31</v>
      </c>
    </row>
    <row r="158" spans="2:35" x14ac:dyDescent="0.25">
      <c r="B158" t="s">
        <v>118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f t="shared" si="8"/>
        <v>0</v>
      </c>
      <c r="AI158">
        <f t="shared" si="9"/>
        <v>31</v>
      </c>
    </row>
    <row r="159" spans="2:35" x14ac:dyDescent="0.25">
      <c r="B159" t="s">
        <v>119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 t="shared" si="8"/>
        <v>0</v>
      </c>
      <c r="AI159">
        <f t="shared" si="9"/>
        <v>31</v>
      </c>
    </row>
    <row r="160" spans="2:35" x14ac:dyDescent="0.25">
      <c r="B160" t="s">
        <v>121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8"/>
        <v>0</v>
      </c>
      <c r="AI160">
        <f t="shared" si="9"/>
        <v>31</v>
      </c>
    </row>
    <row r="161" spans="2:35" x14ac:dyDescent="0.25">
      <c r="B161" t="s">
        <v>123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8"/>
        <v>0</v>
      </c>
      <c r="AI161">
        <f t="shared" si="9"/>
        <v>31</v>
      </c>
    </row>
    <row r="162" spans="2:35" x14ac:dyDescent="0.25">
      <c r="B162" t="s">
        <v>126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 t="shared" si="8"/>
        <v>0</v>
      </c>
      <c r="AI162">
        <f t="shared" si="9"/>
        <v>31</v>
      </c>
    </row>
    <row r="163" spans="2:35" x14ac:dyDescent="0.25">
      <c r="B163" t="s">
        <v>129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 t="shared" si="8"/>
        <v>0</v>
      </c>
      <c r="AI163">
        <f t="shared" si="9"/>
        <v>31</v>
      </c>
    </row>
    <row r="164" spans="2:35" x14ac:dyDescent="0.25">
      <c r="B164" t="s">
        <v>130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f t="shared" ref="AH164:AH195" si="10">AVERAGE(C164:AG164)</f>
        <v>0</v>
      </c>
      <c r="AI164">
        <f t="shared" ref="AI164:AI195" si="11">COUNTIF(C164:AG164,"0")</f>
        <v>31</v>
      </c>
    </row>
    <row r="165" spans="2:35" x14ac:dyDescent="0.25">
      <c r="B165" t="s">
        <v>133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f t="shared" si="10"/>
        <v>0</v>
      </c>
      <c r="AI165">
        <f t="shared" si="11"/>
        <v>31</v>
      </c>
    </row>
    <row r="166" spans="2:35" x14ac:dyDescent="0.25">
      <c r="B166" t="s">
        <v>135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f t="shared" si="10"/>
        <v>0</v>
      </c>
      <c r="AI166">
        <f t="shared" si="11"/>
        <v>31</v>
      </c>
    </row>
    <row r="167" spans="2:35" x14ac:dyDescent="0.25">
      <c r="B167" t="s">
        <v>138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10"/>
        <v>0</v>
      </c>
      <c r="AI167">
        <f t="shared" si="11"/>
        <v>31</v>
      </c>
    </row>
    <row r="168" spans="2:35" x14ac:dyDescent="0.25">
      <c r="B168" t="s">
        <v>140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 t="shared" si="10"/>
        <v>0</v>
      </c>
      <c r="AI168">
        <f t="shared" si="11"/>
        <v>31</v>
      </c>
    </row>
    <row r="169" spans="2:35" x14ac:dyDescent="0.25">
      <c r="B169" t="s">
        <v>141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 t="shared" si="10"/>
        <v>0</v>
      </c>
      <c r="AI169">
        <f t="shared" si="11"/>
        <v>31</v>
      </c>
    </row>
    <row r="170" spans="2:35" x14ac:dyDescent="0.25">
      <c r="B170" t="s">
        <v>147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 t="shared" si="10"/>
        <v>0</v>
      </c>
      <c r="AI170">
        <f t="shared" si="11"/>
        <v>31</v>
      </c>
    </row>
    <row r="171" spans="2:35" x14ac:dyDescent="0.25">
      <c r="B171" t="s">
        <v>154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 t="shared" si="10"/>
        <v>0</v>
      </c>
      <c r="AI171">
        <f t="shared" si="11"/>
        <v>31</v>
      </c>
    </row>
    <row r="172" spans="2:35" x14ac:dyDescent="0.25">
      <c r="B172" t="s">
        <v>155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f t="shared" si="10"/>
        <v>0</v>
      </c>
      <c r="AI172">
        <f t="shared" si="11"/>
        <v>31</v>
      </c>
    </row>
    <row r="173" spans="2:35" x14ac:dyDescent="0.25">
      <c r="B173" t="s">
        <v>156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 t="shared" si="10"/>
        <v>0</v>
      </c>
      <c r="AI173">
        <f t="shared" si="11"/>
        <v>31</v>
      </c>
    </row>
    <row r="174" spans="2:35" x14ac:dyDescent="0.25">
      <c r="B174" t="s">
        <v>159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 t="shared" si="10"/>
        <v>0</v>
      </c>
      <c r="AI174">
        <f t="shared" si="11"/>
        <v>31</v>
      </c>
    </row>
    <row r="175" spans="2:35" x14ac:dyDescent="0.25">
      <c r="B175" t="s">
        <v>162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f t="shared" si="10"/>
        <v>0</v>
      </c>
      <c r="AI175">
        <f t="shared" si="11"/>
        <v>31</v>
      </c>
    </row>
    <row r="176" spans="2:35" x14ac:dyDescent="0.25">
      <c r="B176" t="s">
        <v>165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f t="shared" si="10"/>
        <v>0</v>
      </c>
      <c r="AI176">
        <f t="shared" si="11"/>
        <v>31</v>
      </c>
    </row>
    <row r="177" spans="2:35" x14ac:dyDescent="0.25">
      <c r="B177" t="s">
        <v>166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f t="shared" si="10"/>
        <v>0</v>
      </c>
      <c r="AI177">
        <f t="shared" si="11"/>
        <v>31</v>
      </c>
    </row>
    <row r="178" spans="2:35" x14ac:dyDescent="0.25">
      <c r="B178" t="s">
        <v>168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f t="shared" si="10"/>
        <v>0</v>
      </c>
      <c r="AI178">
        <f t="shared" si="11"/>
        <v>31</v>
      </c>
    </row>
    <row r="179" spans="2:35" x14ac:dyDescent="0.25">
      <c r="B179" t="s">
        <v>169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f t="shared" si="10"/>
        <v>0</v>
      </c>
      <c r="AI179">
        <f t="shared" si="11"/>
        <v>31</v>
      </c>
    </row>
    <row r="180" spans="2:35" x14ac:dyDescent="0.25">
      <c r="B180" t="s">
        <v>177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f t="shared" si="10"/>
        <v>0</v>
      </c>
      <c r="AI180">
        <f t="shared" si="11"/>
        <v>31</v>
      </c>
    </row>
    <row r="181" spans="2:35" x14ac:dyDescent="0.25">
      <c r="B181" t="s">
        <v>178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10"/>
        <v>0</v>
      </c>
      <c r="AI181">
        <f t="shared" si="11"/>
        <v>31</v>
      </c>
    </row>
    <row r="182" spans="2:35" x14ac:dyDescent="0.25">
      <c r="B182" t="s">
        <v>179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 t="shared" si="10"/>
        <v>0</v>
      </c>
      <c r="AI182">
        <f t="shared" si="11"/>
        <v>31</v>
      </c>
    </row>
    <row r="183" spans="2:35" x14ac:dyDescent="0.25">
      <c r="B183" t="s">
        <v>180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 t="shared" si="10"/>
        <v>0</v>
      </c>
      <c r="AI183">
        <f t="shared" si="11"/>
        <v>31</v>
      </c>
    </row>
    <row r="184" spans="2:35" x14ac:dyDescent="0.25">
      <c r="B184" t="s">
        <v>181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f t="shared" si="10"/>
        <v>0</v>
      </c>
      <c r="AI184">
        <f t="shared" si="11"/>
        <v>31</v>
      </c>
    </row>
    <row r="185" spans="2:35" x14ac:dyDescent="0.25">
      <c r="B185" t="s">
        <v>183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 t="shared" si="10"/>
        <v>0</v>
      </c>
      <c r="AI185">
        <f t="shared" si="11"/>
        <v>31</v>
      </c>
    </row>
    <row r="186" spans="2:35" x14ac:dyDescent="0.25">
      <c r="B186" t="s">
        <v>187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f t="shared" si="10"/>
        <v>0</v>
      </c>
      <c r="AI186">
        <f t="shared" si="11"/>
        <v>31</v>
      </c>
    </row>
    <row r="187" spans="2:35" x14ac:dyDescent="0.25">
      <c r="B187" t="s">
        <v>188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 t="shared" si="10"/>
        <v>0</v>
      </c>
      <c r="AI187">
        <f t="shared" si="11"/>
        <v>31</v>
      </c>
    </row>
    <row r="188" spans="2:35" x14ac:dyDescent="0.25">
      <c r="B188" t="s">
        <v>191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f t="shared" si="10"/>
        <v>0</v>
      </c>
      <c r="AI188">
        <f t="shared" si="11"/>
        <v>31</v>
      </c>
    </row>
    <row r="189" spans="2:35" x14ac:dyDescent="0.25">
      <c r="B189" t="s">
        <v>196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 t="shared" si="10"/>
        <v>0</v>
      </c>
      <c r="AI189">
        <f t="shared" si="11"/>
        <v>31</v>
      </c>
    </row>
    <row r="190" spans="2:35" x14ac:dyDescent="0.25">
      <c r="B190" t="s">
        <v>199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f t="shared" si="10"/>
        <v>0</v>
      </c>
      <c r="AI190">
        <f t="shared" si="11"/>
        <v>31</v>
      </c>
    </row>
    <row r="191" spans="2:35" x14ac:dyDescent="0.25">
      <c r="B191" t="s">
        <v>201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 t="shared" si="10"/>
        <v>0</v>
      </c>
      <c r="AI191">
        <f t="shared" si="11"/>
        <v>31</v>
      </c>
    </row>
    <row r="192" spans="2:35" x14ac:dyDescent="0.25">
      <c r="B192" t="s">
        <v>202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 t="shared" si="10"/>
        <v>0</v>
      </c>
      <c r="AI192">
        <f t="shared" si="11"/>
        <v>31</v>
      </c>
    </row>
    <row r="193" spans="2:35" x14ac:dyDescent="0.25">
      <c r="B193" t="s">
        <v>206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f t="shared" si="10"/>
        <v>0</v>
      </c>
      <c r="AI193">
        <f t="shared" si="11"/>
        <v>31</v>
      </c>
    </row>
    <row r="194" spans="2:35" x14ac:dyDescent="0.25">
      <c r="B194" t="s">
        <v>214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f t="shared" si="10"/>
        <v>0</v>
      </c>
      <c r="AI194">
        <f t="shared" si="11"/>
        <v>31</v>
      </c>
    </row>
    <row r="195" spans="2:35" x14ac:dyDescent="0.25">
      <c r="B195" t="s">
        <v>215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f t="shared" si="10"/>
        <v>0</v>
      </c>
      <c r="AI195">
        <f t="shared" si="11"/>
        <v>31</v>
      </c>
    </row>
  </sheetData>
  <autoFilter ref="B2:AI2" xr:uid="{740B7EA2-0479-41A6-A8A8-2A3805D821F9}">
    <sortState xmlns:xlrd2="http://schemas.microsoft.com/office/spreadsheetml/2017/richdata2" ref="B4:AI195">
      <sortCondition ref="AI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02C4-4FED-4FF3-BBF4-58DF893544AC}">
  <dimension ref="B2:AD194"/>
  <sheetViews>
    <sheetView topLeftCell="A2" workbookViewId="0">
      <selection activeCell="B3" sqref="B3:B24"/>
    </sheetView>
  </sheetViews>
  <sheetFormatPr defaultRowHeight="15" x14ac:dyDescent="0.25"/>
  <cols>
    <col min="2" max="2" width="65" bestFit="1" customWidth="1"/>
    <col min="3" max="28" width="24.28515625" bestFit="1" customWidth="1"/>
    <col min="29" max="29" width="21.140625" bestFit="1" customWidth="1"/>
    <col min="30" max="30" width="23.42578125" bestFit="1" customWidth="1"/>
  </cols>
  <sheetData>
    <row r="2" spans="2:30" x14ac:dyDescent="0.25">
      <c r="B2" t="s">
        <v>225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N2" t="s">
        <v>238</v>
      </c>
      <c r="O2" t="s">
        <v>239</v>
      </c>
      <c r="P2" t="s">
        <v>240</v>
      </c>
      <c r="Q2" t="s">
        <v>241</v>
      </c>
      <c r="R2" t="s">
        <v>242</v>
      </c>
      <c r="S2" t="s">
        <v>243</v>
      </c>
      <c r="T2" t="s">
        <v>244</v>
      </c>
      <c r="U2" t="s">
        <v>245</v>
      </c>
      <c r="V2" t="s">
        <v>246</v>
      </c>
      <c r="W2" t="s">
        <v>247</v>
      </c>
      <c r="X2" t="s">
        <v>248</v>
      </c>
      <c r="Y2" t="s">
        <v>249</v>
      </c>
      <c r="Z2" t="s">
        <v>250</v>
      </c>
      <c r="AA2" t="s">
        <v>251</v>
      </c>
      <c r="AB2" t="s">
        <v>252</v>
      </c>
      <c r="AC2" t="s">
        <v>224</v>
      </c>
      <c r="AD2" t="s">
        <v>226</v>
      </c>
    </row>
    <row r="3" spans="2:30" x14ac:dyDescent="0.25">
      <c r="B3" s="1" t="s">
        <v>32</v>
      </c>
      <c r="C3">
        <v>9</v>
      </c>
      <c r="D3">
        <v>4</v>
      </c>
      <c r="E3">
        <v>3</v>
      </c>
      <c r="F3">
        <v>9</v>
      </c>
      <c r="G3">
        <v>9</v>
      </c>
      <c r="H3">
        <v>8</v>
      </c>
      <c r="I3">
        <v>9</v>
      </c>
      <c r="J3">
        <v>10</v>
      </c>
      <c r="K3">
        <v>31</v>
      </c>
      <c r="L3">
        <v>8</v>
      </c>
      <c r="M3">
        <v>8</v>
      </c>
      <c r="N3">
        <v>13</v>
      </c>
      <c r="O3">
        <v>6</v>
      </c>
      <c r="P3">
        <v>8</v>
      </c>
      <c r="Q3">
        <v>8</v>
      </c>
      <c r="R3">
        <v>7</v>
      </c>
      <c r="S3">
        <v>8</v>
      </c>
      <c r="T3">
        <v>9</v>
      </c>
      <c r="U3">
        <v>9</v>
      </c>
      <c r="V3">
        <v>163</v>
      </c>
      <c r="W3">
        <v>7</v>
      </c>
      <c r="X3">
        <v>161</v>
      </c>
      <c r="Y3">
        <v>32</v>
      </c>
      <c r="Z3">
        <v>37</v>
      </c>
      <c r="AA3">
        <v>9</v>
      </c>
      <c r="AB3">
        <v>17</v>
      </c>
      <c r="AC3">
        <f t="shared" ref="AC3:AC34" si="0">AVERAGE(C3:AB3)</f>
        <v>23.153846153846153</v>
      </c>
      <c r="AD3">
        <f t="shared" ref="AD3:AD34" si="1">COUNTIF(C3:AB3,"0")</f>
        <v>0</v>
      </c>
    </row>
    <row r="4" spans="2:30" x14ac:dyDescent="0.25">
      <c r="B4" s="1" t="s">
        <v>33</v>
      </c>
      <c r="C4">
        <v>5075</v>
      </c>
      <c r="D4">
        <v>6483</v>
      </c>
      <c r="E4">
        <v>1304</v>
      </c>
      <c r="F4">
        <v>11762</v>
      </c>
      <c r="G4">
        <v>10303</v>
      </c>
      <c r="H4">
        <v>10044</v>
      </c>
      <c r="I4">
        <v>8693</v>
      </c>
      <c r="J4">
        <v>11707</v>
      </c>
      <c r="K4">
        <v>12852</v>
      </c>
      <c r="L4">
        <v>14345</v>
      </c>
      <c r="M4">
        <v>12151</v>
      </c>
      <c r="N4">
        <v>10903</v>
      </c>
      <c r="O4">
        <v>5683</v>
      </c>
      <c r="P4">
        <v>13266</v>
      </c>
      <c r="Q4">
        <v>29340</v>
      </c>
      <c r="R4">
        <v>24744</v>
      </c>
      <c r="S4">
        <v>32561</v>
      </c>
      <c r="T4">
        <v>35523</v>
      </c>
      <c r="U4">
        <v>37808</v>
      </c>
      <c r="V4">
        <v>29087</v>
      </c>
      <c r="W4">
        <v>21475</v>
      </c>
      <c r="X4">
        <v>31667</v>
      </c>
      <c r="Y4">
        <v>26223</v>
      </c>
      <c r="Z4">
        <v>31507</v>
      </c>
      <c r="AA4">
        <v>28084</v>
      </c>
      <c r="AB4">
        <v>15028</v>
      </c>
      <c r="AC4">
        <f t="shared" si="0"/>
        <v>18369.923076923078</v>
      </c>
      <c r="AD4">
        <f t="shared" si="1"/>
        <v>0</v>
      </c>
    </row>
    <row r="5" spans="2:30" x14ac:dyDescent="0.25">
      <c r="B5" s="1" t="s">
        <v>35</v>
      </c>
      <c r="C5">
        <v>565</v>
      </c>
      <c r="D5">
        <v>568</v>
      </c>
      <c r="E5">
        <v>58</v>
      </c>
      <c r="F5">
        <v>488</v>
      </c>
      <c r="G5">
        <v>585</v>
      </c>
      <c r="H5">
        <v>562</v>
      </c>
      <c r="I5">
        <v>592</v>
      </c>
      <c r="J5">
        <v>385</v>
      </c>
      <c r="K5">
        <v>718</v>
      </c>
      <c r="L5">
        <v>710</v>
      </c>
      <c r="M5">
        <v>701</v>
      </c>
      <c r="N5">
        <v>517</v>
      </c>
      <c r="O5">
        <v>716</v>
      </c>
      <c r="P5">
        <v>649</v>
      </c>
      <c r="Q5">
        <v>584</v>
      </c>
      <c r="R5">
        <v>379</v>
      </c>
      <c r="S5">
        <v>580</v>
      </c>
      <c r="T5">
        <v>634</v>
      </c>
      <c r="U5">
        <v>609</v>
      </c>
      <c r="V5">
        <v>643</v>
      </c>
      <c r="W5">
        <v>649</v>
      </c>
      <c r="X5">
        <v>777</v>
      </c>
      <c r="Y5">
        <v>753</v>
      </c>
      <c r="Z5">
        <v>916</v>
      </c>
      <c r="AA5">
        <v>815</v>
      </c>
      <c r="AB5">
        <v>167</v>
      </c>
      <c r="AC5">
        <f t="shared" si="0"/>
        <v>589.23076923076928</v>
      </c>
      <c r="AD5">
        <f t="shared" si="1"/>
        <v>0</v>
      </c>
    </row>
    <row r="6" spans="2:30" x14ac:dyDescent="0.25">
      <c r="B6" s="1" t="s">
        <v>51</v>
      </c>
      <c r="C6">
        <v>2</v>
      </c>
      <c r="D6">
        <v>3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3</v>
      </c>
      <c r="M6">
        <v>2</v>
      </c>
      <c r="N6">
        <v>2</v>
      </c>
      <c r="O6">
        <v>2</v>
      </c>
      <c r="P6">
        <v>2</v>
      </c>
      <c r="Q6">
        <v>3</v>
      </c>
      <c r="R6">
        <v>2</v>
      </c>
      <c r="S6">
        <v>3</v>
      </c>
      <c r="T6">
        <v>9</v>
      </c>
      <c r="U6">
        <v>3</v>
      </c>
      <c r="V6">
        <v>2</v>
      </c>
      <c r="W6">
        <v>4</v>
      </c>
      <c r="X6">
        <v>3</v>
      </c>
      <c r="Y6">
        <v>2</v>
      </c>
      <c r="Z6">
        <v>2</v>
      </c>
      <c r="AA6">
        <v>2</v>
      </c>
      <c r="AB6">
        <v>2</v>
      </c>
      <c r="AC6">
        <f t="shared" si="0"/>
        <v>2.5769230769230771</v>
      </c>
      <c r="AD6">
        <f t="shared" si="1"/>
        <v>0</v>
      </c>
    </row>
    <row r="7" spans="2:30" x14ac:dyDescent="0.25">
      <c r="B7" s="1" t="s">
        <v>55</v>
      </c>
      <c r="C7">
        <v>7</v>
      </c>
      <c r="D7">
        <v>11</v>
      </c>
      <c r="E7">
        <v>3</v>
      </c>
      <c r="F7">
        <v>272</v>
      </c>
      <c r="G7">
        <v>226</v>
      </c>
      <c r="H7">
        <v>53</v>
      </c>
      <c r="I7">
        <v>8</v>
      </c>
      <c r="J7">
        <v>239</v>
      </c>
      <c r="K7">
        <v>225</v>
      </c>
      <c r="L7">
        <v>199</v>
      </c>
      <c r="M7">
        <v>233</v>
      </c>
      <c r="N7">
        <v>198</v>
      </c>
      <c r="O7">
        <v>30</v>
      </c>
      <c r="P7">
        <v>10</v>
      </c>
      <c r="Q7">
        <v>145</v>
      </c>
      <c r="R7">
        <v>268</v>
      </c>
      <c r="S7">
        <v>196</v>
      </c>
      <c r="T7">
        <v>263</v>
      </c>
      <c r="U7">
        <v>180</v>
      </c>
      <c r="V7">
        <v>22</v>
      </c>
      <c r="W7">
        <v>21</v>
      </c>
      <c r="X7">
        <v>222</v>
      </c>
      <c r="Y7">
        <v>91</v>
      </c>
      <c r="Z7">
        <v>298</v>
      </c>
      <c r="AA7">
        <v>276</v>
      </c>
      <c r="AB7">
        <v>46</v>
      </c>
      <c r="AC7">
        <f t="shared" si="0"/>
        <v>143.92307692307693</v>
      </c>
      <c r="AD7">
        <f t="shared" si="1"/>
        <v>0</v>
      </c>
    </row>
    <row r="8" spans="2:30" x14ac:dyDescent="0.25">
      <c r="B8" s="1" t="s">
        <v>125</v>
      </c>
      <c r="C8">
        <v>1192</v>
      </c>
      <c r="D8">
        <v>906</v>
      </c>
      <c r="E8">
        <v>440</v>
      </c>
      <c r="F8">
        <v>1668</v>
      </c>
      <c r="G8">
        <v>1358</v>
      </c>
      <c r="H8">
        <v>1215</v>
      </c>
      <c r="I8">
        <v>1268</v>
      </c>
      <c r="J8">
        <v>1277</v>
      </c>
      <c r="K8">
        <v>1374</v>
      </c>
      <c r="L8">
        <v>1649</v>
      </c>
      <c r="M8">
        <v>1549</v>
      </c>
      <c r="N8">
        <v>1556</v>
      </c>
      <c r="O8">
        <v>1624</v>
      </c>
      <c r="P8">
        <v>1254</v>
      </c>
      <c r="Q8">
        <v>2308</v>
      </c>
      <c r="R8">
        <v>1886</v>
      </c>
      <c r="S8">
        <v>1308</v>
      </c>
      <c r="T8">
        <v>1531</v>
      </c>
      <c r="U8">
        <v>1519</v>
      </c>
      <c r="V8">
        <v>2200</v>
      </c>
      <c r="W8">
        <v>1455</v>
      </c>
      <c r="X8">
        <v>2966</v>
      </c>
      <c r="Y8">
        <v>2346</v>
      </c>
      <c r="Z8">
        <v>1418</v>
      </c>
      <c r="AA8">
        <v>1436</v>
      </c>
      <c r="AB8">
        <v>1058</v>
      </c>
      <c r="AC8">
        <f t="shared" si="0"/>
        <v>1529.2692307692307</v>
      </c>
      <c r="AD8">
        <f t="shared" si="1"/>
        <v>0</v>
      </c>
    </row>
    <row r="9" spans="2:30" x14ac:dyDescent="0.25">
      <c r="B9" s="1" t="s">
        <v>139</v>
      </c>
      <c r="C9">
        <v>2</v>
      </c>
      <c r="D9">
        <v>4</v>
      </c>
      <c r="E9">
        <v>2</v>
      </c>
      <c r="F9">
        <v>2</v>
      </c>
      <c r="G9">
        <v>2</v>
      </c>
      <c r="H9">
        <v>2</v>
      </c>
      <c r="I9">
        <v>4</v>
      </c>
      <c r="J9">
        <v>2</v>
      </c>
      <c r="K9">
        <v>2</v>
      </c>
      <c r="L9">
        <v>2</v>
      </c>
      <c r="M9">
        <v>3</v>
      </c>
      <c r="N9">
        <v>2</v>
      </c>
      <c r="O9">
        <v>2</v>
      </c>
      <c r="P9">
        <v>2</v>
      </c>
      <c r="Q9">
        <v>2</v>
      </c>
      <c r="R9">
        <v>1</v>
      </c>
      <c r="S9">
        <v>2</v>
      </c>
      <c r="T9">
        <v>8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1</v>
      </c>
      <c r="AB9">
        <v>2</v>
      </c>
      <c r="AC9">
        <f t="shared" si="0"/>
        <v>2.3461538461538463</v>
      </c>
      <c r="AD9">
        <f t="shared" si="1"/>
        <v>0</v>
      </c>
    </row>
    <row r="10" spans="2:30" x14ac:dyDescent="0.25">
      <c r="B10" s="1" t="s">
        <v>143</v>
      </c>
      <c r="C10">
        <v>48</v>
      </c>
      <c r="D10">
        <v>94</v>
      </c>
      <c r="E10">
        <v>16</v>
      </c>
      <c r="F10">
        <v>130</v>
      </c>
      <c r="G10">
        <v>110</v>
      </c>
      <c r="H10">
        <v>47</v>
      </c>
      <c r="I10">
        <v>61</v>
      </c>
      <c r="J10">
        <v>447</v>
      </c>
      <c r="K10">
        <v>262</v>
      </c>
      <c r="L10">
        <v>418</v>
      </c>
      <c r="M10">
        <v>107</v>
      </c>
      <c r="N10">
        <v>95</v>
      </c>
      <c r="O10">
        <v>52</v>
      </c>
      <c r="P10">
        <v>40</v>
      </c>
      <c r="Q10">
        <v>103</v>
      </c>
      <c r="R10">
        <v>107</v>
      </c>
      <c r="S10">
        <v>197</v>
      </c>
      <c r="T10">
        <v>87</v>
      </c>
      <c r="U10">
        <v>90</v>
      </c>
      <c r="V10">
        <v>60</v>
      </c>
      <c r="W10">
        <v>41</v>
      </c>
      <c r="X10">
        <v>262</v>
      </c>
      <c r="Y10">
        <v>133</v>
      </c>
      <c r="Z10">
        <v>146</v>
      </c>
      <c r="AA10">
        <v>128</v>
      </c>
      <c r="AB10">
        <v>57</v>
      </c>
      <c r="AC10">
        <f t="shared" si="0"/>
        <v>128.38461538461539</v>
      </c>
      <c r="AD10">
        <f t="shared" si="1"/>
        <v>0</v>
      </c>
    </row>
    <row r="11" spans="2:30" x14ac:dyDescent="0.25">
      <c r="B11" s="1" t="s">
        <v>152</v>
      </c>
      <c r="C11">
        <v>49</v>
      </c>
      <c r="D11">
        <v>39</v>
      </c>
      <c r="E11">
        <v>18</v>
      </c>
      <c r="F11">
        <v>47</v>
      </c>
      <c r="G11">
        <v>47</v>
      </c>
      <c r="H11">
        <v>48</v>
      </c>
      <c r="I11">
        <v>47</v>
      </c>
      <c r="J11">
        <v>47</v>
      </c>
      <c r="K11">
        <v>48</v>
      </c>
      <c r="L11">
        <v>46</v>
      </c>
      <c r="M11">
        <v>49</v>
      </c>
      <c r="N11">
        <v>48</v>
      </c>
      <c r="O11">
        <v>48</v>
      </c>
      <c r="P11">
        <v>50</v>
      </c>
      <c r="Q11">
        <v>45</v>
      </c>
      <c r="R11">
        <v>46</v>
      </c>
      <c r="S11">
        <v>46</v>
      </c>
      <c r="T11">
        <v>46</v>
      </c>
      <c r="U11">
        <v>46</v>
      </c>
      <c r="V11">
        <v>46</v>
      </c>
      <c r="W11">
        <v>45</v>
      </c>
      <c r="X11">
        <v>48</v>
      </c>
      <c r="Y11">
        <v>46</v>
      </c>
      <c r="Z11">
        <v>46</v>
      </c>
      <c r="AA11">
        <v>38</v>
      </c>
      <c r="AB11">
        <v>24</v>
      </c>
      <c r="AC11">
        <f t="shared" si="0"/>
        <v>44.346153846153847</v>
      </c>
      <c r="AD11">
        <f t="shared" si="1"/>
        <v>0</v>
      </c>
    </row>
    <row r="12" spans="2:30" x14ac:dyDescent="0.25">
      <c r="B12" s="1" t="s">
        <v>203</v>
      </c>
      <c r="C12">
        <v>16</v>
      </c>
      <c r="D12">
        <v>5</v>
      </c>
      <c r="E12">
        <v>1</v>
      </c>
      <c r="F12">
        <v>17</v>
      </c>
      <c r="G12">
        <v>8</v>
      </c>
      <c r="H12">
        <v>8</v>
      </c>
      <c r="I12">
        <v>23</v>
      </c>
      <c r="J12">
        <v>21</v>
      </c>
      <c r="K12">
        <v>14</v>
      </c>
      <c r="L12">
        <v>24</v>
      </c>
      <c r="M12">
        <v>15</v>
      </c>
      <c r="N12">
        <v>16</v>
      </c>
      <c r="O12">
        <v>8</v>
      </c>
      <c r="P12">
        <v>9</v>
      </c>
      <c r="Q12">
        <v>20</v>
      </c>
      <c r="R12">
        <v>20</v>
      </c>
      <c r="S12">
        <v>27</v>
      </c>
      <c r="T12">
        <v>25</v>
      </c>
      <c r="U12">
        <v>11</v>
      </c>
      <c r="V12">
        <v>7</v>
      </c>
      <c r="W12">
        <v>17</v>
      </c>
      <c r="X12">
        <v>8</v>
      </c>
      <c r="Y12">
        <v>13</v>
      </c>
      <c r="Z12">
        <v>20</v>
      </c>
      <c r="AA12">
        <v>11</v>
      </c>
      <c r="AB12">
        <v>5</v>
      </c>
      <c r="AC12">
        <f t="shared" si="0"/>
        <v>14.192307692307692</v>
      </c>
      <c r="AD12">
        <f t="shared" si="1"/>
        <v>0</v>
      </c>
    </row>
    <row r="13" spans="2:30" x14ac:dyDescent="0.25">
      <c r="B13" s="1" t="s">
        <v>210</v>
      </c>
      <c r="C13">
        <v>35</v>
      </c>
      <c r="D13">
        <v>20</v>
      </c>
      <c r="E13">
        <v>13</v>
      </c>
      <c r="F13">
        <v>28</v>
      </c>
      <c r="G13">
        <v>28</v>
      </c>
      <c r="H13">
        <v>27</v>
      </c>
      <c r="I13">
        <v>27</v>
      </c>
      <c r="J13">
        <v>29</v>
      </c>
      <c r="K13">
        <v>27</v>
      </c>
      <c r="L13">
        <v>28</v>
      </c>
      <c r="M13">
        <v>25</v>
      </c>
      <c r="N13">
        <v>28</v>
      </c>
      <c r="O13">
        <v>23</v>
      </c>
      <c r="P13">
        <v>19</v>
      </c>
      <c r="Q13">
        <v>31</v>
      </c>
      <c r="R13">
        <v>27</v>
      </c>
      <c r="S13">
        <v>12</v>
      </c>
      <c r="T13">
        <v>4</v>
      </c>
      <c r="U13">
        <v>3</v>
      </c>
      <c r="V13">
        <v>3</v>
      </c>
      <c r="W13">
        <v>3</v>
      </c>
      <c r="X13">
        <v>3</v>
      </c>
      <c r="Y13">
        <v>5</v>
      </c>
      <c r="Z13">
        <v>9</v>
      </c>
      <c r="AA13">
        <v>6</v>
      </c>
      <c r="AB13">
        <v>3</v>
      </c>
      <c r="AC13">
        <f t="shared" si="0"/>
        <v>17.923076923076923</v>
      </c>
      <c r="AD13">
        <f t="shared" si="1"/>
        <v>0</v>
      </c>
    </row>
    <row r="14" spans="2:30" x14ac:dyDescent="0.25">
      <c r="B14" s="1" t="s">
        <v>216</v>
      </c>
      <c r="C14">
        <v>1302</v>
      </c>
      <c r="D14">
        <v>1991</v>
      </c>
      <c r="E14">
        <v>492</v>
      </c>
      <c r="F14">
        <v>1585</v>
      </c>
      <c r="G14">
        <v>1454</v>
      </c>
      <c r="H14">
        <v>1251</v>
      </c>
      <c r="I14">
        <v>945</v>
      </c>
      <c r="J14">
        <v>1087</v>
      </c>
      <c r="K14">
        <v>773</v>
      </c>
      <c r="L14">
        <v>1249</v>
      </c>
      <c r="M14">
        <v>781</v>
      </c>
      <c r="N14">
        <v>932</v>
      </c>
      <c r="O14">
        <v>1119</v>
      </c>
      <c r="P14">
        <v>591</v>
      </c>
      <c r="Q14">
        <v>1276</v>
      </c>
      <c r="R14">
        <v>1408</v>
      </c>
      <c r="S14">
        <v>1086</v>
      </c>
      <c r="T14">
        <v>1599</v>
      </c>
      <c r="U14">
        <v>1529</v>
      </c>
      <c r="V14">
        <v>1889</v>
      </c>
      <c r="W14">
        <v>2259</v>
      </c>
      <c r="X14">
        <v>2435</v>
      </c>
      <c r="Y14">
        <v>2696</v>
      </c>
      <c r="Z14">
        <v>2830</v>
      </c>
      <c r="AA14">
        <v>2407</v>
      </c>
      <c r="AB14">
        <v>1717</v>
      </c>
      <c r="AC14">
        <f t="shared" si="0"/>
        <v>1487.8076923076924</v>
      </c>
      <c r="AD14">
        <f t="shared" si="1"/>
        <v>0</v>
      </c>
    </row>
    <row r="15" spans="2:30" x14ac:dyDescent="0.25">
      <c r="B15" s="1" t="s">
        <v>218</v>
      </c>
      <c r="C15">
        <v>5874</v>
      </c>
      <c r="D15">
        <v>5001</v>
      </c>
      <c r="E15">
        <v>2099</v>
      </c>
      <c r="F15">
        <v>5792</v>
      </c>
      <c r="G15">
        <v>5911</v>
      </c>
      <c r="H15">
        <v>5687</v>
      </c>
      <c r="I15">
        <v>5894</v>
      </c>
      <c r="J15">
        <v>4650</v>
      </c>
      <c r="K15">
        <v>5690</v>
      </c>
      <c r="L15">
        <v>5869</v>
      </c>
      <c r="M15">
        <v>5695</v>
      </c>
      <c r="N15">
        <v>6020</v>
      </c>
      <c r="O15">
        <v>5771</v>
      </c>
      <c r="P15">
        <v>5680</v>
      </c>
      <c r="Q15">
        <v>5852</v>
      </c>
      <c r="R15">
        <v>5942</v>
      </c>
      <c r="S15">
        <v>5760</v>
      </c>
      <c r="T15">
        <v>5786</v>
      </c>
      <c r="U15">
        <v>5851</v>
      </c>
      <c r="V15">
        <v>5978</v>
      </c>
      <c r="W15">
        <v>5600</v>
      </c>
      <c r="X15">
        <v>5757</v>
      </c>
      <c r="Y15">
        <v>5762</v>
      </c>
      <c r="Z15">
        <v>5802</v>
      </c>
      <c r="AA15">
        <v>5782</v>
      </c>
      <c r="AB15">
        <v>3680</v>
      </c>
      <c r="AC15">
        <f t="shared" si="0"/>
        <v>5507.1153846153848</v>
      </c>
      <c r="AD15">
        <f t="shared" si="1"/>
        <v>0</v>
      </c>
    </row>
    <row r="16" spans="2:30" x14ac:dyDescent="0.25">
      <c r="B16" s="1" t="s">
        <v>112</v>
      </c>
      <c r="C16">
        <v>1</v>
      </c>
      <c r="D16">
        <v>1</v>
      </c>
      <c r="E16">
        <v>0</v>
      </c>
      <c r="F16">
        <v>1</v>
      </c>
      <c r="G16">
        <v>8</v>
      </c>
      <c r="H16">
        <v>1</v>
      </c>
      <c r="I16">
        <v>1</v>
      </c>
      <c r="J16">
        <v>8</v>
      </c>
      <c r="K16">
        <v>12</v>
      </c>
      <c r="L16">
        <v>2</v>
      </c>
      <c r="M16">
        <v>7</v>
      </c>
      <c r="N16">
        <v>6</v>
      </c>
      <c r="O16">
        <v>1</v>
      </c>
      <c r="P16">
        <v>1</v>
      </c>
      <c r="Q16">
        <v>1</v>
      </c>
      <c r="R16">
        <v>7</v>
      </c>
      <c r="S16">
        <v>14</v>
      </c>
      <c r="T16">
        <v>6</v>
      </c>
      <c r="U16">
        <v>2</v>
      </c>
      <c r="V16">
        <v>1</v>
      </c>
      <c r="W16">
        <v>1</v>
      </c>
      <c r="X16">
        <v>11</v>
      </c>
      <c r="Y16">
        <v>9</v>
      </c>
      <c r="Z16">
        <v>10</v>
      </c>
      <c r="AA16">
        <v>9</v>
      </c>
      <c r="AB16">
        <v>1</v>
      </c>
      <c r="AC16">
        <f t="shared" si="0"/>
        <v>4.6923076923076925</v>
      </c>
      <c r="AD16">
        <f t="shared" si="1"/>
        <v>1</v>
      </c>
    </row>
    <row r="17" spans="2:30" x14ac:dyDescent="0.25">
      <c r="B17" s="1" t="s">
        <v>163</v>
      </c>
      <c r="C17">
        <v>5</v>
      </c>
      <c r="D17">
        <v>2</v>
      </c>
      <c r="E17">
        <v>2</v>
      </c>
      <c r="F17">
        <v>98</v>
      </c>
      <c r="G17">
        <v>99</v>
      </c>
      <c r="H17">
        <v>11</v>
      </c>
      <c r="I17">
        <v>5</v>
      </c>
      <c r="J17">
        <v>103</v>
      </c>
      <c r="K17">
        <v>69</v>
      </c>
      <c r="L17">
        <v>90</v>
      </c>
      <c r="M17">
        <v>99</v>
      </c>
      <c r="N17">
        <v>54</v>
      </c>
      <c r="O17">
        <v>26</v>
      </c>
      <c r="P17">
        <v>0</v>
      </c>
      <c r="Q17">
        <v>40</v>
      </c>
      <c r="R17">
        <v>67</v>
      </c>
      <c r="S17">
        <v>77</v>
      </c>
      <c r="T17">
        <v>135</v>
      </c>
      <c r="U17">
        <v>82</v>
      </c>
      <c r="V17">
        <v>8</v>
      </c>
      <c r="W17">
        <v>4</v>
      </c>
      <c r="X17">
        <v>155</v>
      </c>
      <c r="Y17">
        <v>24</v>
      </c>
      <c r="Z17">
        <v>116</v>
      </c>
      <c r="AA17">
        <v>94</v>
      </c>
      <c r="AB17">
        <v>7</v>
      </c>
      <c r="AC17">
        <f t="shared" si="0"/>
        <v>56.615384615384613</v>
      </c>
      <c r="AD17">
        <f t="shared" si="1"/>
        <v>1</v>
      </c>
    </row>
    <row r="18" spans="2:30" x14ac:dyDescent="0.25">
      <c r="B18" s="1" t="s">
        <v>195</v>
      </c>
      <c r="C18">
        <v>22</v>
      </c>
      <c r="D18">
        <v>12</v>
      </c>
      <c r="E18">
        <v>0</v>
      </c>
      <c r="F18">
        <v>998</v>
      </c>
      <c r="G18">
        <v>242</v>
      </c>
      <c r="H18">
        <v>56</v>
      </c>
      <c r="I18">
        <v>8</v>
      </c>
      <c r="J18">
        <v>297</v>
      </c>
      <c r="K18">
        <v>246</v>
      </c>
      <c r="L18">
        <v>268</v>
      </c>
      <c r="M18">
        <v>357</v>
      </c>
      <c r="N18">
        <v>245</v>
      </c>
      <c r="O18">
        <v>43</v>
      </c>
      <c r="P18">
        <v>24</v>
      </c>
      <c r="Q18">
        <v>194</v>
      </c>
      <c r="R18">
        <v>352</v>
      </c>
      <c r="S18">
        <v>364</v>
      </c>
      <c r="T18">
        <v>296</v>
      </c>
      <c r="U18">
        <v>246</v>
      </c>
      <c r="V18">
        <v>18</v>
      </c>
      <c r="W18">
        <v>33</v>
      </c>
      <c r="X18">
        <v>363</v>
      </c>
      <c r="Y18">
        <v>171</v>
      </c>
      <c r="Z18">
        <v>386</v>
      </c>
      <c r="AA18">
        <v>272</v>
      </c>
      <c r="AB18">
        <v>35</v>
      </c>
      <c r="AC18">
        <f t="shared" si="0"/>
        <v>213.38461538461539</v>
      </c>
      <c r="AD18">
        <f t="shared" si="1"/>
        <v>1</v>
      </c>
    </row>
    <row r="19" spans="2:30" x14ac:dyDescent="0.25">
      <c r="B19" s="1" t="s">
        <v>57</v>
      </c>
      <c r="C19">
        <v>292</v>
      </c>
      <c r="D19">
        <v>266</v>
      </c>
      <c r="E19">
        <v>110</v>
      </c>
      <c r="F19">
        <v>286</v>
      </c>
      <c r="G19">
        <v>342</v>
      </c>
      <c r="H19">
        <v>318</v>
      </c>
      <c r="I19">
        <v>326</v>
      </c>
      <c r="J19">
        <v>321</v>
      </c>
      <c r="K19">
        <v>324</v>
      </c>
      <c r="L19">
        <v>307</v>
      </c>
      <c r="M19">
        <v>290</v>
      </c>
      <c r="N19">
        <v>318</v>
      </c>
      <c r="O19">
        <v>301</v>
      </c>
      <c r="P19">
        <v>313</v>
      </c>
      <c r="Q19">
        <v>300</v>
      </c>
      <c r="R19">
        <v>323</v>
      </c>
      <c r="S19">
        <v>295</v>
      </c>
      <c r="T19">
        <v>303</v>
      </c>
      <c r="U19">
        <v>90</v>
      </c>
      <c r="V19">
        <v>0</v>
      </c>
      <c r="W19">
        <v>0</v>
      </c>
      <c r="X19">
        <v>195</v>
      </c>
      <c r="Y19">
        <v>107</v>
      </c>
      <c r="Z19">
        <v>265</v>
      </c>
      <c r="AA19">
        <v>246</v>
      </c>
      <c r="AB19">
        <v>178</v>
      </c>
      <c r="AC19">
        <f t="shared" si="0"/>
        <v>246.76923076923077</v>
      </c>
      <c r="AD19">
        <f t="shared" si="1"/>
        <v>2</v>
      </c>
    </row>
    <row r="20" spans="2:30" x14ac:dyDescent="0.25">
      <c r="B20" s="1" t="s">
        <v>66</v>
      </c>
      <c r="C20">
        <v>59</v>
      </c>
      <c r="D20">
        <v>20</v>
      </c>
      <c r="E20">
        <v>0</v>
      </c>
      <c r="F20">
        <v>0</v>
      </c>
      <c r="G20">
        <v>8</v>
      </c>
      <c r="H20">
        <v>26</v>
      </c>
      <c r="I20">
        <v>29</v>
      </c>
      <c r="J20">
        <v>72</v>
      </c>
      <c r="K20">
        <v>129</v>
      </c>
      <c r="L20">
        <v>108</v>
      </c>
      <c r="M20">
        <v>164</v>
      </c>
      <c r="N20">
        <v>92</v>
      </c>
      <c r="O20">
        <v>61</v>
      </c>
      <c r="P20">
        <v>34</v>
      </c>
      <c r="Q20">
        <v>149</v>
      </c>
      <c r="R20">
        <v>79</v>
      </c>
      <c r="S20">
        <v>77</v>
      </c>
      <c r="T20">
        <v>266</v>
      </c>
      <c r="U20">
        <v>58</v>
      </c>
      <c r="V20">
        <v>27</v>
      </c>
      <c r="W20">
        <v>22</v>
      </c>
      <c r="X20">
        <v>87</v>
      </c>
      <c r="Y20">
        <v>130</v>
      </c>
      <c r="Z20">
        <v>76</v>
      </c>
      <c r="AA20">
        <v>95</v>
      </c>
      <c r="AB20">
        <v>46</v>
      </c>
      <c r="AC20">
        <f t="shared" si="0"/>
        <v>73.615384615384613</v>
      </c>
      <c r="AD20">
        <f t="shared" si="1"/>
        <v>2</v>
      </c>
    </row>
    <row r="21" spans="2:30" x14ac:dyDescent="0.25">
      <c r="B21" s="1" t="s">
        <v>174</v>
      </c>
      <c r="C21">
        <v>21</v>
      </c>
      <c r="D21">
        <v>5</v>
      </c>
      <c r="E21">
        <v>0</v>
      </c>
      <c r="F21">
        <v>52</v>
      </c>
      <c r="G21">
        <v>58</v>
      </c>
      <c r="H21">
        <v>39</v>
      </c>
      <c r="I21">
        <v>7</v>
      </c>
      <c r="J21">
        <v>83</v>
      </c>
      <c r="K21">
        <v>75</v>
      </c>
      <c r="L21">
        <v>65</v>
      </c>
      <c r="M21">
        <v>73</v>
      </c>
      <c r="N21">
        <v>56</v>
      </c>
      <c r="O21">
        <v>16</v>
      </c>
      <c r="P21">
        <v>0</v>
      </c>
      <c r="Q21">
        <v>35</v>
      </c>
      <c r="R21">
        <v>62</v>
      </c>
      <c r="S21">
        <v>82</v>
      </c>
      <c r="T21">
        <v>158</v>
      </c>
      <c r="U21">
        <v>105</v>
      </c>
      <c r="V21">
        <v>41</v>
      </c>
      <c r="W21">
        <v>2</v>
      </c>
      <c r="X21">
        <v>105</v>
      </c>
      <c r="Y21">
        <v>38</v>
      </c>
      <c r="Z21">
        <v>145</v>
      </c>
      <c r="AA21">
        <v>118</v>
      </c>
      <c r="AB21">
        <v>15</v>
      </c>
      <c r="AC21">
        <f t="shared" si="0"/>
        <v>56</v>
      </c>
      <c r="AD21">
        <f t="shared" si="1"/>
        <v>2</v>
      </c>
    </row>
    <row r="22" spans="2:30" x14ac:dyDescent="0.25">
      <c r="B22" s="1" t="s">
        <v>151</v>
      </c>
      <c r="C22">
        <v>1251</v>
      </c>
      <c r="D22">
        <v>1372</v>
      </c>
      <c r="E22">
        <v>0</v>
      </c>
      <c r="F22">
        <v>1342</v>
      </c>
      <c r="G22">
        <v>1470</v>
      </c>
      <c r="H22">
        <v>1311</v>
      </c>
      <c r="I22">
        <v>1054</v>
      </c>
      <c r="J22">
        <v>1283</v>
      </c>
      <c r="K22">
        <v>1320</v>
      </c>
      <c r="L22">
        <v>1180</v>
      </c>
      <c r="M22">
        <v>1116</v>
      </c>
      <c r="N22">
        <v>0</v>
      </c>
      <c r="O22">
        <v>0</v>
      </c>
      <c r="P22">
        <v>2819</v>
      </c>
      <c r="Q22">
        <v>1539</v>
      </c>
      <c r="R22">
        <v>1553</v>
      </c>
      <c r="S22">
        <v>1072</v>
      </c>
      <c r="T22">
        <v>1307</v>
      </c>
      <c r="U22">
        <v>527</v>
      </c>
      <c r="V22">
        <v>1057</v>
      </c>
      <c r="W22">
        <v>1025</v>
      </c>
      <c r="X22">
        <v>1085</v>
      </c>
      <c r="Y22">
        <v>1191</v>
      </c>
      <c r="Z22">
        <v>1227</v>
      </c>
      <c r="AA22">
        <v>278</v>
      </c>
      <c r="AB22">
        <v>518</v>
      </c>
      <c r="AC22">
        <f t="shared" si="0"/>
        <v>1072.9615384615386</v>
      </c>
      <c r="AD22">
        <f t="shared" si="1"/>
        <v>3</v>
      </c>
    </row>
    <row r="23" spans="2:30" x14ac:dyDescent="0.25">
      <c r="B23" s="1" t="s">
        <v>189</v>
      </c>
      <c r="C23">
        <v>1</v>
      </c>
      <c r="D23">
        <v>1</v>
      </c>
      <c r="E23">
        <v>0</v>
      </c>
      <c r="F23">
        <v>2</v>
      </c>
      <c r="G23">
        <v>1</v>
      </c>
      <c r="H23">
        <v>2</v>
      </c>
      <c r="I23">
        <v>1</v>
      </c>
      <c r="J23">
        <v>1</v>
      </c>
      <c r="K23">
        <v>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2</v>
      </c>
      <c r="Z23">
        <v>2</v>
      </c>
      <c r="AA23">
        <v>0</v>
      </c>
      <c r="AB23">
        <v>1</v>
      </c>
      <c r="AC23">
        <f t="shared" si="0"/>
        <v>1.0769230769230769</v>
      </c>
      <c r="AD23">
        <f t="shared" si="1"/>
        <v>3</v>
      </c>
    </row>
    <row r="24" spans="2:30" x14ac:dyDescent="0.25">
      <c r="B24" s="1" t="s">
        <v>190</v>
      </c>
      <c r="C24">
        <v>23</v>
      </c>
      <c r="D24">
        <v>2</v>
      </c>
      <c r="E24">
        <v>0</v>
      </c>
      <c r="F24">
        <v>118</v>
      </c>
      <c r="G24">
        <v>69</v>
      </c>
      <c r="H24">
        <v>36</v>
      </c>
      <c r="I24">
        <v>0</v>
      </c>
      <c r="J24">
        <v>72</v>
      </c>
      <c r="K24">
        <v>106</v>
      </c>
      <c r="L24">
        <v>115</v>
      </c>
      <c r="M24">
        <v>138</v>
      </c>
      <c r="N24">
        <v>116</v>
      </c>
      <c r="O24">
        <v>13</v>
      </c>
      <c r="P24">
        <v>13</v>
      </c>
      <c r="Q24">
        <v>62</v>
      </c>
      <c r="R24">
        <v>167</v>
      </c>
      <c r="S24">
        <v>114</v>
      </c>
      <c r="T24">
        <v>146</v>
      </c>
      <c r="U24">
        <v>84</v>
      </c>
      <c r="V24">
        <v>19</v>
      </c>
      <c r="W24">
        <v>0</v>
      </c>
      <c r="X24">
        <v>134</v>
      </c>
      <c r="Y24">
        <v>25</v>
      </c>
      <c r="Z24">
        <v>214</v>
      </c>
      <c r="AA24">
        <v>109</v>
      </c>
      <c r="AB24">
        <v>19</v>
      </c>
      <c r="AC24">
        <f t="shared" si="0"/>
        <v>73.615384615384613</v>
      </c>
      <c r="AD24">
        <f t="shared" si="1"/>
        <v>3</v>
      </c>
    </row>
    <row r="25" spans="2:30" x14ac:dyDescent="0.25">
      <c r="B25" t="s">
        <v>46</v>
      </c>
      <c r="C25">
        <v>4</v>
      </c>
      <c r="D25">
        <v>0</v>
      </c>
      <c r="E25">
        <v>0</v>
      </c>
      <c r="F25">
        <v>37</v>
      </c>
      <c r="G25">
        <v>28</v>
      </c>
      <c r="H25">
        <v>0</v>
      </c>
      <c r="I25">
        <v>1</v>
      </c>
      <c r="J25">
        <v>29</v>
      </c>
      <c r="K25">
        <v>40</v>
      </c>
      <c r="L25">
        <v>3</v>
      </c>
      <c r="M25">
        <v>25</v>
      </c>
      <c r="N25">
        <v>40</v>
      </c>
      <c r="O25">
        <v>7</v>
      </c>
      <c r="P25">
        <v>7</v>
      </c>
      <c r="Q25">
        <v>12</v>
      </c>
      <c r="R25">
        <v>46</v>
      </c>
      <c r="S25">
        <v>15</v>
      </c>
      <c r="T25">
        <v>64</v>
      </c>
      <c r="U25">
        <v>37</v>
      </c>
      <c r="V25">
        <v>0</v>
      </c>
      <c r="W25">
        <v>6</v>
      </c>
      <c r="X25">
        <v>23</v>
      </c>
      <c r="Y25">
        <v>2</v>
      </c>
      <c r="Z25">
        <v>80</v>
      </c>
      <c r="AA25">
        <v>43</v>
      </c>
      <c r="AB25">
        <v>1</v>
      </c>
      <c r="AC25">
        <f t="shared" si="0"/>
        <v>21.153846153846153</v>
      </c>
      <c r="AD25">
        <f t="shared" si="1"/>
        <v>4</v>
      </c>
    </row>
    <row r="26" spans="2:30" x14ac:dyDescent="0.25">
      <c r="B26" t="s">
        <v>52</v>
      </c>
      <c r="C26">
        <v>11</v>
      </c>
      <c r="D26">
        <v>0</v>
      </c>
      <c r="E26">
        <v>0</v>
      </c>
      <c r="F26">
        <v>47</v>
      </c>
      <c r="G26">
        <v>30</v>
      </c>
      <c r="H26">
        <v>5</v>
      </c>
      <c r="I26">
        <v>1</v>
      </c>
      <c r="J26">
        <v>56</v>
      </c>
      <c r="K26">
        <v>54</v>
      </c>
      <c r="L26">
        <v>34</v>
      </c>
      <c r="M26">
        <v>41</v>
      </c>
      <c r="N26">
        <v>49</v>
      </c>
      <c r="O26">
        <v>12</v>
      </c>
      <c r="P26">
        <v>0</v>
      </c>
      <c r="Q26">
        <v>23</v>
      </c>
      <c r="R26">
        <v>101</v>
      </c>
      <c r="S26">
        <v>71</v>
      </c>
      <c r="T26">
        <v>102</v>
      </c>
      <c r="U26">
        <v>67</v>
      </c>
      <c r="V26">
        <v>14</v>
      </c>
      <c r="W26">
        <v>0</v>
      </c>
      <c r="X26">
        <v>89</v>
      </c>
      <c r="Y26">
        <v>15</v>
      </c>
      <c r="Z26">
        <v>79</v>
      </c>
      <c r="AA26">
        <v>65</v>
      </c>
      <c r="AB26">
        <v>1</v>
      </c>
      <c r="AC26">
        <f t="shared" si="0"/>
        <v>37.192307692307693</v>
      </c>
      <c r="AD26">
        <f t="shared" si="1"/>
        <v>4</v>
      </c>
    </row>
    <row r="27" spans="2:30" x14ac:dyDescent="0.25">
      <c r="B27" t="s">
        <v>61</v>
      </c>
      <c r="C27">
        <v>1</v>
      </c>
      <c r="D27">
        <v>0</v>
      </c>
      <c r="E27">
        <v>0</v>
      </c>
      <c r="F27">
        <v>22</v>
      </c>
      <c r="G27">
        <v>2</v>
      </c>
      <c r="H27">
        <v>6</v>
      </c>
      <c r="I27">
        <v>2</v>
      </c>
      <c r="J27">
        <v>18</v>
      </c>
      <c r="K27">
        <v>20</v>
      </c>
      <c r="L27">
        <v>17</v>
      </c>
      <c r="M27">
        <v>17</v>
      </c>
      <c r="N27">
        <v>2</v>
      </c>
      <c r="O27">
        <v>0</v>
      </c>
      <c r="P27">
        <v>9</v>
      </c>
      <c r="Q27">
        <v>9</v>
      </c>
      <c r="R27">
        <v>4</v>
      </c>
      <c r="S27">
        <v>6</v>
      </c>
      <c r="T27">
        <v>3</v>
      </c>
      <c r="U27">
        <v>27</v>
      </c>
      <c r="V27">
        <v>3</v>
      </c>
      <c r="W27">
        <v>8</v>
      </c>
      <c r="X27">
        <v>134</v>
      </c>
      <c r="Y27">
        <v>29</v>
      </c>
      <c r="Z27">
        <v>19</v>
      </c>
      <c r="AA27">
        <v>24</v>
      </c>
      <c r="AB27">
        <v>0</v>
      </c>
      <c r="AC27">
        <f t="shared" si="0"/>
        <v>14.692307692307692</v>
      </c>
      <c r="AD27">
        <f t="shared" si="1"/>
        <v>4</v>
      </c>
    </row>
    <row r="28" spans="2:30" x14ac:dyDescent="0.25">
      <c r="B28" t="s">
        <v>70</v>
      </c>
      <c r="C28">
        <v>0</v>
      </c>
      <c r="D28">
        <v>0</v>
      </c>
      <c r="E28">
        <v>1</v>
      </c>
      <c r="F28">
        <v>30</v>
      </c>
      <c r="G28">
        <v>22</v>
      </c>
      <c r="H28">
        <v>0</v>
      </c>
      <c r="I28">
        <v>4</v>
      </c>
      <c r="J28">
        <v>26</v>
      </c>
      <c r="K28">
        <v>24</v>
      </c>
      <c r="L28">
        <v>0</v>
      </c>
      <c r="M28">
        <v>15</v>
      </c>
      <c r="N28">
        <v>23</v>
      </c>
      <c r="O28">
        <v>9</v>
      </c>
      <c r="P28">
        <v>1</v>
      </c>
      <c r="Q28">
        <v>11</v>
      </c>
      <c r="R28">
        <v>62</v>
      </c>
      <c r="S28">
        <v>45</v>
      </c>
      <c r="T28">
        <v>65</v>
      </c>
      <c r="U28">
        <v>37</v>
      </c>
      <c r="V28">
        <v>11</v>
      </c>
      <c r="W28">
        <v>1</v>
      </c>
      <c r="X28">
        <v>44</v>
      </c>
      <c r="Y28">
        <v>4</v>
      </c>
      <c r="Z28">
        <v>64</v>
      </c>
      <c r="AA28">
        <v>50</v>
      </c>
      <c r="AB28">
        <v>1</v>
      </c>
      <c r="AC28">
        <f t="shared" si="0"/>
        <v>21.153846153846153</v>
      </c>
      <c r="AD28">
        <f t="shared" si="1"/>
        <v>4</v>
      </c>
    </row>
    <row r="29" spans="2:30" x14ac:dyDescent="0.25">
      <c r="B29" t="s">
        <v>106</v>
      </c>
      <c r="C29">
        <v>5</v>
      </c>
      <c r="D29">
        <v>1</v>
      </c>
      <c r="E29">
        <v>0</v>
      </c>
      <c r="F29">
        <v>26</v>
      </c>
      <c r="G29">
        <v>14</v>
      </c>
      <c r="H29">
        <v>4</v>
      </c>
      <c r="I29">
        <v>0</v>
      </c>
      <c r="J29">
        <v>14</v>
      </c>
      <c r="K29">
        <v>19</v>
      </c>
      <c r="L29">
        <v>26</v>
      </c>
      <c r="M29">
        <v>8</v>
      </c>
      <c r="N29">
        <v>22</v>
      </c>
      <c r="O29">
        <v>1</v>
      </c>
      <c r="P29">
        <v>0</v>
      </c>
      <c r="Q29">
        <v>9</v>
      </c>
      <c r="R29">
        <v>6</v>
      </c>
      <c r="S29">
        <v>18</v>
      </c>
      <c r="T29">
        <v>22</v>
      </c>
      <c r="U29">
        <v>18</v>
      </c>
      <c r="V29">
        <v>3</v>
      </c>
      <c r="W29">
        <v>0</v>
      </c>
      <c r="X29">
        <v>13</v>
      </c>
      <c r="Y29">
        <v>8</v>
      </c>
      <c r="Z29">
        <v>29</v>
      </c>
      <c r="AA29">
        <v>21</v>
      </c>
      <c r="AB29">
        <v>3</v>
      </c>
      <c r="AC29">
        <f t="shared" si="0"/>
        <v>11.153846153846153</v>
      </c>
      <c r="AD29">
        <f t="shared" si="1"/>
        <v>4</v>
      </c>
    </row>
    <row r="30" spans="2:30" x14ac:dyDescent="0.25">
      <c r="B30" t="s">
        <v>81</v>
      </c>
      <c r="C30">
        <v>12</v>
      </c>
      <c r="D30">
        <v>8</v>
      </c>
      <c r="E30">
        <v>0</v>
      </c>
      <c r="F30">
        <v>28</v>
      </c>
      <c r="G30">
        <v>12</v>
      </c>
      <c r="H30">
        <v>2</v>
      </c>
      <c r="I30">
        <v>0</v>
      </c>
      <c r="J30">
        <v>14</v>
      </c>
      <c r="K30">
        <v>26</v>
      </c>
      <c r="L30">
        <v>26</v>
      </c>
      <c r="M30">
        <v>36</v>
      </c>
      <c r="N30">
        <v>22</v>
      </c>
      <c r="O30">
        <v>6</v>
      </c>
      <c r="P30">
        <v>0</v>
      </c>
      <c r="Q30">
        <v>10</v>
      </c>
      <c r="R30">
        <v>34</v>
      </c>
      <c r="S30">
        <v>33</v>
      </c>
      <c r="T30">
        <v>32</v>
      </c>
      <c r="U30">
        <v>21</v>
      </c>
      <c r="V30">
        <v>2</v>
      </c>
      <c r="W30">
        <v>0</v>
      </c>
      <c r="X30">
        <v>25</v>
      </c>
      <c r="Y30">
        <v>12</v>
      </c>
      <c r="Z30">
        <v>39</v>
      </c>
      <c r="AA30">
        <v>44</v>
      </c>
      <c r="AB30">
        <v>0</v>
      </c>
      <c r="AC30">
        <f t="shared" si="0"/>
        <v>17.076923076923077</v>
      </c>
      <c r="AD30">
        <f t="shared" si="1"/>
        <v>5</v>
      </c>
    </row>
    <row r="31" spans="2:30" x14ac:dyDescent="0.25">
      <c r="B31" t="s">
        <v>164</v>
      </c>
      <c r="C31">
        <v>5</v>
      </c>
      <c r="D31">
        <v>0</v>
      </c>
      <c r="E31">
        <v>0</v>
      </c>
      <c r="F31">
        <v>45</v>
      </c>
      <c r="G31">
        <v>30</v>
      </c>
      <c r="H31">
        <v>7</v>
      </c>
      <c r="I31">
        <v>1</v>
      </c>
      <c r="J31">
        <v>31</v>
      </c>
      <c r="K31">
        <v>39</v>
      </c>
      <c r="L31">
        <v>43</v>
      </c>
      <c r="M31">
        <v>32</v>
      </c>
      <c r="N31">
        <v>25</v>
      </c>
      <c r="O31">
        <v>1</v>
      </c>
      <c r="P31">
        <v>0</v>
      </c>
      <c r="Q31">
        <v>19</v>
      </c>
      <c r="R31">
        <v>38</v>
      </c>
      <c r="S31">
        <v>41</v>
      </c>
      <c r="T31">
        <v>47</v>
      </c>
      <c r="U31">
        <v>31</v>
      </c>
      <c r="V31">
        <v>0</v>
      </c>
      <c r="W31">
        <v>0</v>
      </c>
      <c r="X31">
        <v>7</v>
      </c>
      <c r="Y31">
        <v>0</v>
      </c>
      <c r="Z31">
        <v>52</v>
      </c>
      <c r="AA31">
        <v>20</v>
      </c>
      <c r="AB31">
        <v>6</v>
      </c>
      <c r="AC31">
        <f t="shared" si="0"/>
        <v>20</v>
      </c>
      <c r="AD31">
        <f t="shared" si="1"/>
        <v>6</v>
      </c>
    </row>
    <row r="32" spans="2:30" x14ac:dyDescent="0.25">
      <c r="B32" t="s">
        <v>172</v>
      </c>
      <c r="C32">
        <v>0</v>
      </c>
      <c r="D32">
        <v>0</v>
      </c>
      <c r="E32">
        <v>0</v>
      </c>
      <c r="F32">
        <v>9</v>
      </c>
      <c r="G32">
        <v>4</v>
      </c>
      <c r="H32">
        <v>4</v>
      </c>
      <c r="I32">
        <v>0</v>
      </c>
      <c r="J32">
        <v>16</v>
      </c>
      <c r="K32">
        <v>14</v>
      </c>
      <c r="L32">
        <v>31</v>
      </c>
      <c r="M32">
        <v>1</v>
      </c>
      <c r="N32">
        <v>6</v>
      </c>
      <c r="O32">
        <v>1</v>
      </c>
      <c r="P32">
        <v>0</v>
      </c>
      <c r="Q32">
        <v>1</v>
      </c>
      <c r="R32">
        <v>9</v>
      </c>
      <c r="S32">
        <v>10</v>
      </c>
      <c r="T32">
        <v>22</v>
      </c>
      <c r="U32">
        <v>8</v>
      </c>
      <c r="V32">
        <v>2</v>
      </c>
      <c r="W32">
        <v>0</v>
      </c>
      <c r="X32">
        <v>11</v>
      </c>
      <c r="Y32">
        <v>2</v>
      </c>
      <c r="Z32">
        <v>34</v>
      </c>
      <c r="AA32">
        <v>7</v>
      </c>
      <c r="AB32">
        <v>3</v>
      </c>
      <c r="AC32">
        <f t="shared" si="0"/>
        <v>7.5</v>
      </c>
      <c r="AD32">
        <f t="shared" si="1"/>
        <v>6</v>
      </c>
    </row>
    <row r="33" spans="2:30" x14ac:dyDescent="0.25">
      <c r="B33" t="s">
        <v>176</v>
      </c>
      <c r="C33">
        <v>1</v>
      </c>
      <c r="D33">
        <v>0</v>
      </c>
      <c r="E33">
        <v>0</v>
      </c>
      <c r="F33">
        <v>58</v>
      </c>
      <c r="G33">
        <v>52</v>
      </c>
      <c r="H33">
        <v>0</v>
      </c>
      <c r="I33">
        <v>0</v>
      </c>
      <c r="J33">
        <v>25</v>
      </c>
      <c r="K33">
        <v>27</v>
      </c>
      <c r="L33">
        <v>20</v>
      </c>
      <c r="M33">
        <v>11</v>
      </c>
      <c r="N33">
        <v>16</v>
      </c>
      <c r="O33">
        <v>1</v>
      </c>
      <c r="P33">
        <v>0</v>
      </c>
      <c r="Q33">
        <v>15</v>
      </c>
      <c r="R33">
        <v>37</v>
      </c>
      <c r="S33">
        <v>31</v>
      </c>
      <c r="T33">
        <v>38</v>
      </c>
      <c r="U33">
        <v>21</v>
      </c>
      <c r="V33">
        <v>1</v>
      </c>
      <c r="W33">
        <v>0</v>
      </c>
      <c r="X33">
        <v>20</v>
      </c>
      <c r="Y33">
        <v>3</v>
      </c>
      <c r="Z33">
        <v>51</v>
      </c>
      <c r="AA33">
        <v>28</v>
      </c>
      <c r="AB33">
        <v>3</v>
      </c>
      <c r="AC33">
        <f t="shared" si="0"/>
        <v>17.653846153846153</v>
      </c>
      <c r="AD33">
        <f t="shared" si="1"/>
        <v>6</v>
      </c>
    </row>
    <row r="34" spans="2:30" x14ac:dyDescent="0.25">
      <c r="B34" t="s">
        <v>184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2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f t="shared" si="0"/>
        <v>0.80769230769230771</v>
      </c>
      <c r="AD34">
        <f t="shared" si="1"/>
        <v>6</v>
      </c>
    </row>
    <row r="35" spans="2:30" x14ac:dyDescent="0.25">
      <c r="B35" t="s">
        <v>128</v>
      </c>
      <c r="C35">
        <v>3</v>
      </c>
      <c r="D35">
        <v>0</v>
      </c>
      <c r="E35">
        <v>0</v>
      </c>
      <c r="F35">
        <v>29</v>
      </c>
      <c r="G35">
        <v>15</v>
      </c>
      <c r="H35">
        <v>0</v>
      </c>
      <c r="I35">
        <v>0</v>
      </c>
      <c r="J35">
        <v>10</v>
      </c>
      <c r="K35">
        <v>27</v>
      </c>
      <c r="L35">
        <v>54</v>
      </c>
      <c r="M35">
        <v>50</v>
      </c>
      <c r="N35">
        <v>19</v>
      </c>
      <c r="O35">
        <v>5</v>
      </c>
      <c r="P35">
        <v>0</v>
      </c>
      <c r="Q35">
        <v>27</v>
      </c>
      <c r="R35">
        <v>28</v>
      </c>
      <c r="S35">
        <v>22</v>
      </c>
      <c r="T35">
        <v>23</v>
      </c>
      <c r="U35">
        <v>34</v>
      </c>
      <c r="V35">
        <v>8</v>
      </c>
      <c r="W35">
        <v>0</v>
      </c>
      <c r="X35">
        <v>71</v>
      </c>
      <c r="Y35">
        <v>13</v>
      </c>
      <c r="Z35">
        <v>72</v>
      </c>
      <c r="AA35">
        <v>31</v>
      </c>
      <c r="AB35">
        <v>0</v>
      </c>
      <c r="AC35">
        <f t="shared" ref="AC35:AC66" si="2">AVERAGE(C35:AB35)</f>
        <v>20.807692307692307</v>
      </c>
      <c r="AD35">
        <f t="shared" ref="AD35:AD66" si="3">COUNTIF(C35:AB35,"0")</f>
        <v>7</v>
      </c>
    </row>
    <row r="36" spans="2:30" x14ac:dyDescent="0.25">
      <c r="B36" t="s">
        <v>182</v>
      </c>
      <c r="C36">
        <v>0</v>
      </c>
      <c r="D36">
        <v>0</v>
      </c>
      <c r="E36">
        <v>0</v>
      </c>
      <c r="F36">
        <v>24</v>
      </c>
      <c r="G36">
        <v>22</v>
      </c>
      <c r="H36">
        <v>2</v>
      </c>
      <c r="I36">
        <v>0</v>
      </c>
      <c r="J36">
        <v>26</v>
      </c>
      <c r="K36">
        <v>17</v>
      </c>
      <c r="L36">
        <v>18</v>
      </c>
      <c r="M36">
        <v>11</v>
      </c>
      <c r="N36">
        <v>16</v>
      </c>
      <c r="O36">
        <v>0</v>
      </c>
      <c r="P36">
        <v>0</v>
      </c>
      <c r="Q36">
        <v>22</v>
      </c>
      <c r="R36">
        <v>21</v>
      </c>
      <c r="S36">
        <v>6</v>
      </c>
      <c r="T36">
        <v>12</v>
      </c>
      <c r="U36">
        <v>16</v>
      </c>
      <c r="V36">
        <v>3</v>
      </c>
      <c r="W36">
        <v>0</v>
      </c>
      <c r="X36">
        <v>14</v>
      </c>
      <c r="Y36">
        <v>1</v>
      </c>
      <c r="Z36">
        <v>24</v>
      </c>
      <c r="AA36">
        <v>7</v>
      </c>
      <c r="AB36">
        <v>7</v>
      </c>
      <c r="AC36">
        <f t="shared" si="2"/>
        <v>10.346153846153847</v>
      </c>
      <c r="AD36">
        <f t="shared" si="3"/>
        <v>7</v>
      </c>
    </row>
    <row r="37" spans="2:30" x14ac:dyDescent="0.25">
      <c r="B37" t="s">
        <v>167</v>
      </c>
      <c r="C37">
        <v>1</v>
      </c>
      <c r="D37">
        <v>0</v>
      </c>
      <c r="E37">
        <v>0</v>
      </c>
      <c r="F37">
        <v>8</v>
      </c>
      <c r="G37">
        <v>9</v>
      </c>
      <c r="H37">
        <v>1</v>
      </c>
      <c r="I37">
        <v>0</v>
      </c>
      <c r="J37">
        <v>9</v>
      </c>
      <c r="K37">
        <v>2</v>
      </c>
      <c r="L37">
        <v>10</v>
      </c>
      <c r="M37">
        <v>5</v>
      </c>
      <c r="N37">
        <v>4</v>
      </c>
      <c r="O37">
        <v>0</v>
      </c>
      <c r="P37">
        <v>0</v>
      </c>
      <c r="Q37">
        <v>17</v>
      </c>
      <c r="R37">
        <v>3</v>
      </c>
      <c r="S37">
        <v>1</v>
      </c>
      <c r="T37">
        <v>7</v>
      </c>
      <c r="U37">
        <v>6</v>
      </c>
      <c r="V37">
        <v>0</v>
      </c>
      <c r="W37">
        <v>0</v>
      </c>
      <c r="X37">
        <v>8</v>
      </c>
      <c r="Y37">
        <v>0</v>
      </c>
      <c r="Z37">
        <v>11</v>
      </c>
      <c r="AA37">
        <v>4</v>
      </c>
      <c r="AB37">
        <v>1</v>
      </c>
      <c r="AC37">
        <f t="shared" si="2"/>
        <v>4.115384615384615</v>
      </c>
      <c r="AD37">
        <f t="shared" si="3"/>
        <v>8</v>
      </c>
    </row>
    <row r="38" spans="2:30" x14ac:dyDescent="0.25">
      <c r="B38" t="s">
        <v>77</v>
      </c>
      <c r="C38">
        <v>2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1</v>
      </c>
      <c r="K38">
        <v>4</v>
      </c>
      <c r="L38">
        <v>3</v>
      </c>
      <c r="M38">
        <v>1</v>
      </c>
      <c r="N38">
        <v>0</v>
      </c>
      <c r="O38">
        <v>2</v>
      </c>
      <c r="P38">
        <v>0</v>
      </c>
      <c r="Q38">
        <v>0</v>
      </c>
      <c r="R38">
        <v>8</v>
      </c>
      <c r="S38">
        <v>5</v>
      </c>
      <c r="T38">
        <v>3</v>
      </c>
      <c r="U38">
        <v>6</v>
      </c>
      <c r="V38">
        <v>3</v>
      </c>
      <c r="W38">
        <v>2</v>
      </c>
      <c r="X38">
        <v>12</v>
      </c>
      <c r="Y38">
        <v>1</v>
      </c>
      <c r="Z38">
        <v>1</v>
      </c>
      <c r="AA38">
        <v>18</v>
      </c>
      <c r="AB38">
        <v>0</v>
      </c>
      <c r="AC38">
        <f t="shared" si="2"/>
        <v>2.8846153846153846</v>
      </c>
      <c r="AD38">
        <f t="shared" si="3"/>
        <v>9</v>
      </c>
    </row>
    <row r="39" spans="2:30" x14ac:dyDescent="0.25">
      <c r="B39" t="s">
        <v>78</v>
      </c>
      <c r="C39">
        <v>0</v>
      </c>
      <c r="D39">
        <v>0</v>
      </c>
      <c r="E39">
        <v>0</v>
      </c>
      <c r="F39">
        <v>9</v>
      </c>
      <c r="G39">
        <v>16</v>
      </c>
      <c r="H39">
        <v>0</v>
      </c>
      <c r="I39">
        <v>0</v>
      </c>
      <c r="J39">
        <v>40</v>
      </c>
      <c r="K39">
        <v>17</v>
      </c>
      <c r="L39">
        <v>0</v>
      </c>
      <c r="M39">
        <v>10</v>
      </c>
      <c r="N39">
        <v>19</v>
      </c>
      <c r="O39">
        <v>0</v>
      </c>
      <c r="P39">
        <v>0</v>
      </c>
      <c r="Q39">
        <v>6</v>
      </c>
      <c r="R39">
        <v>23</v>
      </c>
      <c r="S39">
        <v>30</v>
      </c>
      <c r="T39">
        <v>33</v>
      </c>
      <c r="U39">
        <v>43</v>
      </c>
      <c r="V39">
        <v>3</v>
      </c>
      <c r="W39">
        <v>0</v>
      </c>
      <c r="X39">
        <v>30</v>
      </c>
      <c r="Y39">
        <v>3</v>
      </c>
      <c r="Z39">
        <v>49</v>
      </c>
      <c r="AA39">
        <v>37</v>
      </c>
      <c r="AB39">
        <v>3</v>
      </c>
      <c r="AC39">
        <f t="shared" si="2"/>
        <v>14.26923076923077</v>
      </c>
      <c r="AD39">
        <f t="shared" si="3"/>
        <v>9</v>
      </c>
    </row>
    <row r="40" spans="2:30" x14ac:dyDescent="0.25"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18</v>
      </c>
      <c r="M40">
        <v>24</v>
      </c>
      <c r="N40">
        <v>42</v>
      </c>
      <c r="O40">
        <v>6</v>
      </c>
      <c r="P40">
        <v>0</v>
      </c>
      <c r="Q40">
        <v>53</v>
      </c>
      <c r="R40">
        <v>29</v>
      </c>
      <c r="S40">
        <v>47</v>
      </c>
      <c r="T40">
        <v>42</v>
      </c>
      <c r="U40">
        <v>27</v>
      </c>
      <c r="V40">
        <v>5</v>
      </c>
      <c r="W40">
        <v>0</v>
      </c>
      <c r="X40">
        <v>18</v>
      </c>
      <c r="Y40">
        <v>3</v>
      </c>
      <c r="Z40">
        <v>38</v>
      </c>
      <c r="AA40">
        <v>19</v>
      </c>
      <c r="AB40">
        <v>5</v>
      </c>
      <c r="AC40">
        <f t="shared" si="2"/>
        <v>14.576923076923077</v>
      </c>
      <c r="AD40">
        <f t="shared" si="3"/>
        <v>9</v>
      </c>
    </row>
    <row r="41" spans="2:30" x14ac:dyDescent="0.25">
      <c r="B41" t="s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  <c r="K41">
        <v>54</v>
      </c>
      <c r="L41">
        <v>74</v>
      </c>
      <c r="M41">
        <v>46</v>
      </c>
      <c r="N41">
        <v>29</v>
      </c>
      <c r="O41">
        <v>7</v>
      </c>
      <c r="P41">
        <v>0</v>
      </c>
      <c r="Q41">
        <v>24</v>
      </c>
      <c r="R41">
        <v>55</v>
      </c>
      <c r="S41">
        <v>64</v>
      </c>
      <c r="T41">
        <v>60</v>
      </c>
      <c r="U41">
        <v>59</v>
      </c>
      <c r="V41">
        <v>13</v>
      </c>
      <c r="W41">
        <v>0</v>
      </c>
      <c r="X41">
        <v>37</v>
      </c>
      <c r="Y41">
        <v>1</v>
      </c>
      <c r="Z41">
        <v>110</v>
      </c>
      <c r="AA41">
        <v>29</v>
      </c>
      <c r="AB41">
        <v>4</v>
      </c>
      <c r="AC41">
        <f t="shared" si="2"/>
        <v>25.884615384615383</v>
      </c>
      <c r="AD41">
        <f t="shared" si="3"/>
        <v>9</v>
      </c>
    </row>
    <row r="42" spans="2:30" x14ac:dyDescent="0.25">
      <c r="B42" t="s">
        <v>131</v>
      </c>
      <c r="C42">
        <v>0</v>
      </c>
      <c r="D42">
        <v>0</v>
      </c>
      <c r="E42">
        <v>0</v>
      </c>
      <c r="F42">
        <v>3</v>
      </c>
      <c r="G42">
        <v>1</v>
      </c>
      <c r="H42">
        <v>0</v>
      </c>
      <c r="I42">
        <v>0</v>
      </c>
      <c r="J42">
        <v>16</v>
      </c>
      <c r="K42">
        <v>17</v>
      </c>
      <c r="L42">
        <v>8</v>
      </c>
      <c r="M42">
        <v>7</v>
      </c>
      <c r="N42">
        <v>1</v>
      </c>
      <c r="O42">
        <v>0</v>
      </c>
      <c r="P42">
        <v>0</v>
      </c>
      <c r="Q42">
        <v>2</v>
      </c>
      <c r="R42">
        <v>10</v>
      </c>
      <c r="S42">
        <v>1</v>
      </c>
      <c r="T42">
        <v>2</v>
      </c>
      <c r="U42">
        <v>8</v>
      </c>
      <c r="V42">
        <v>0</v>
      </c>
      <c r="W42">
        <v>0</v>
      </c>
      <c r="X42">
        <v>12</v>
      </c>
      <c r="Y42">
        <v>2</v>
      </c>
      <c r="Z42">
        <v>4</v>
      </c>
      <c r="AA42">
        <v>8</v>
      </c>
      <c r="AB42">
        <v>8</v>
      </c>
      <c r="AC42">
        <f t="shared" si="2"/>
        <v>4.2307692307692308</v>
      </c>
      <c r="AD42">
        <f t="shared" si="3"/>
        <v>9</v>
      </c>
    </row>
    <row r="43" spans="2:30" x14ac:dyDescent="0.25">
      <c r="B43" t="s">
        <v>60</v>
      </c>
      <c r="C43">
        <v>1</v>
      </c>
      <c r="D43">
        <v>5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9</v>
      </c>
      <c r="R43">
        <v>15</v>
      </c>
      <c r="S43">
        <v>6</v>
      </c>
      <c r="T43">
        <v>3</v>
      </c>
      <c r="U43">
        <v>0</v>
      </c>
      <c r="V43">
        <v>1</v>
      </c>
      <c r="W43">
        <v>1</v>
      </c>
      <c r="X43">
        <v>8</v>
      </c>
      <c r="Y43">
        <v>8</v>
      </c>
      <c r="Z43">
        <v>4</v>
      </c>
      <c r="AA43">
        <v>3</v>
      </c>
      <c r="AB43">
        <v>0</v>
      </c>
      <c r="AC43">
        <f t="shared" si="2"/>
        <v>2.6153846153846154</v>
      </c>
      <c r="AD43">
        <f t="shared" si="3"/>
        <v>10</v>
      </c>
    </row>
    <row r="44" spans="2:30" x14ac:dyDescent="0.25">
      <c r="B44" t="s">
        <v>86</v>
      </c>
      <c r="C44">
        <v>1</v>
      </c>
      <c r="D44">
        <v>3</v>
      </c>
      <c r="E44">
        <v>0</v>
      </c>
      <c r="F44">
        <v>0</v>
      </c>
      <c r="G44">
        <v>8</v>
      </c>
      <c r="H44">
        <v>1</v>
      </c>
      <c r="I44">
        <v>0</v>
      </c>
      <c r="J44">
        <v>9</v>
      </c>
      <c r="K44">
        <v>9</v>
      </c>
      <c r="L44">
        <v>15</v>
      </c>
      <c r="M44">
        <v>10</v>
      </c>
      <c r="N44">
        <v>6</v>
      </c>
      <c r="O44">
        <v>1</v>
      </c>
      <c r="P44">
        <v>0</v>
      </c>
      <c r="Q44">
        <v>0</v>
      </c>
      <c r="R44">
        <v>5</v>
      </c>
      <c r="S44">
        <v>2</v>
      </c>
      <c r="T44">
        <v>8</v>
      </c>
      <c r="U44">
        <v>0</v>
      </c>
      <c r="V44">
        <v>0</v>
      </c>
      <c r="W44">
        <v>0</v>
      </c>
      <c r="X44">
        <v>2</v>
      </c>
      <c r="Y44">
        <v>1</v>
      </c>
      <c r="Z44">
        <v>0</v>
      </c>
      <c r="AA44">
        <v>1</v>
      </c>
      <c r="AB44">
        <v>0</v>
      </c>
      <c r="AC44">
        <f t="shared" si="2"/>
        <v>3.1538461538461537</v>
      </c>
      <c r="AD44">
        <f t="shared" si="3"/>
        <v>10</v>
      </c>
    </row>
    <row r="45" spans="2:30" x14ac:dyDescent="0.25">
      <c r="B45" t="s">
        <v>122</v>
      </c>
      <c r="C45">
        <v>0</v>
      </c>
      <c r="D45">
        <v>0</v>
      </c>
      <c r="E45">
        <v>0</v>
      </c>
      <c r="F45">
        <v>4</v>
      </c>
      <c r="G45">
        <v>6</v>
      </c>
      <c r="H45">
        <v>5</v>
      </c>
      <c r="I45">
        <v>0</v>
      </c>
      <c r="J45">
        <v>15</v>
      </c>
      <c r="K45">
        <v>9</v>
      </c>
      <c r="L45">
        <v>4</v>
      </c>
      <c r="M45">
        <v>1</v>
      </c>
      <c r="N45">
        <v>0</v>
      </c>
      <c r="O45">
        <v>0</v>
      </c>
      <c r="P45">
        <v>0</v>
      </c>
      <c r="Q45">
        <v>0</v>
      </c>
      <c r="R45">
        <v>2</v>
      </c>
      <c r="S45">
        <v>6</v>
      </c>
      <c r="T45">
        <v>5</v>
      </c>
      <c r="U45">
        <v>10</v>
      </c>
      <c r="V45">
        <v>0</v>
      </c>
      <c r="W45">
        <v>0</v>
      </c>
      <c r="X45">
        <v>10</v>
      </c>
      <c r="Y45">
        <v>15</v>
      </c>
      <c r="Z45">
        <v>13</v>
      </c>
      <c r="AA45">
        <v>3</v>
      </c>
      <c r="AB45">
        <v>2</v>
      </c>
      <c r="AC45">
        <f t="shared" si="2"/>
        <v>4.2307692307692308</v>
      </c>
      <c r="AD45">
        <f t="shared" si="3"/>
        <v>10</v>
      </c>
    </row>
    <row r="46" spans="2:30" x14ac:dyDescent="0.25">
      <c r="B46" t="s">
        <v>173</v>
      </c>
      <c r="C46">
        <v>1</v>
      </c>
      <c r="D46">
        <v>7</v>
      </c>
      <c r="E46">
        <v>0</v>
      </c>
      <c r="F46">
        <v>14</v>
      </c>
      <c r="G46">
        <v>22</v>
      </c>
      <c r="H46">
        <v>2</v>
      </c>
      <c r="I46">
        <v>0</v>
      </c>
      <c r="J46">
        <v>14</v>
      </c>
      <c r="K46">
        <v>4</v>
      </c>
      <c r="L46">
        <v>4</v>
      </c>
      <c r="M46">
        <v>25</v>
      </c>
      <c r="N46">
        <v>11</v>
      </c>
      <c r="O46">
        <v>0</v>
      </c>
      <c r="P46">
        <v>0</v>
      </c>
      <c r="Q46">
        <v>19</v>
      </c>
      <c r="R46">
        <v>35</v>
      </c>
      <c r="S46">
        <v>12</v>
      </c>
      <c r="T46">
        <v>30</v>
      </c>
      <c r="U46">
        <v>41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f t="shared" si="2"/>
        <v>9.3461538461538467</v>
      </c>
      <c r="AD46">
        <f t="shared" si="3"/>
        <v>10</v>
      </c>
    </row>
    <row r="47" spans="2:30" x14ac:dyDescent="0.25">
      <c r="B47" t="s">
        <v>76</v>
      </c>
      <c r="C47">
        <v>0</v>
      </c>
      <c r="D47">
        <v>0</v>
      </c>
      <c r="E47">
        <v>0</v>
      </c>
      <c r="F47">
        <v>14</v>
      </c>
      <c r="G47">
        <v>1</v>
      </c>
      <c r="H47">
        <v>0</v>
      </c>
      <c r="I47">
        <v>0</v>
      </c>
      <c r="J47">
        <v>2</v>
      </c>
      <c r="K47">
        <v>6</v>
      </c>
      <c r="L47">
        <v>1</v>
      </c>
      <c r="M47">
        <v>1</v>
      </c>
      <c r="N47">
        <v>2</v>
      </c>
      <c r="O47">
        <v>0</v>
      </c>
      <c r="P47">
        <v>0</v>
      </c>
      <c r="Q47">
        <v>3</v>
      </c>
      <c r="R47">
        <v>4</v>
      </c>
      <c r="S47">
        <v>1</v>
      </c>
      <c r="T47">
        <v>4</v>
      </c>
      <c r="U47">
        <v>6</v>
      </c>
      <c r="V47">
        <v>0</v>
      </c>
      <c r="W47">
        <v>0</v>
      </c>
      <c r="X47">
        <v>3</v>
      </c>
      <c r="Y47">
        <v>0</v>
      </c>
      <c r="Z47">
        <v>3</v>
      </c>
      <c r="AA47">
        <v>9</v>
      </c>
      <c r="AB47">
        <v>0</v>
      </c>
      <c r="AC47">
        <f t="shared" si="2"/>
        <v>2.3076923076923075</v>
      </c>
      <c r="AD47">
        <f t="shared" si="3"/>
        <v>11</v>
      </c>
    </row>
    <row r="48" spans="2:30" x14ac:dyDescent="0.25">
      <c r="B48" t="s">
        <v>170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2</v>
      </c>
      <c r="K48">
        <v>1</v>
      </c>
      <c r="L48">
        <v>0</v>
      </c>
      <c r="M48">
        <v>1</v>
      </c>
      <c r="N48">
        <v>2</v>
      </c>
      <c r="O48">
        <v>0</v>
      </c>
      <c r="P48">
        <v>0</v>
      </c>
      <c r="Q48">
        <v>1</v>
      </c>
      <c r="R48">
        <v>1</v>
      </c>
      <c r="S48">
        <v>5</v>
      </c>
      <c r="T48">
        <v>8</v>
      </c>
      <c r="U48">
        <v>3</v>
      </c>
      <c r="V48">
        <v>0</v>
      </c>
      <c r="W48">
        <v>0</v>
      </c>
      <c r="X48">
        <v>0</v>
      </c>
      <c r="Y48">
        <v>7</v>
      </c>
      <c r="Z48">
        <v>10</v>
      </c>
      <c r="AA48">
        <v>1</v>
      </c>
      <c r="AB48">
        <v>1</v>
      </c>
      <c r="AC48">
        <f t="shared" si="2"/>
        <v>1.7307692307692308</v>
      </c>
      <c r="AD48">
        <f t="shared" si="3"/>
        <v>12</v>
      </c>
    </row>
    <row r="49" spans="2:30" x14ac:dyDescent="0.25">
      <c r="B49" t="s">
        <v>73</v>
      </c>
      <c r="C49">
        <v>0</v>
      </c>
      <c r="D49">
        <v>0</v>
      </c>
      <c r="E49">
        <v>1</v>
      </c>
      <c r="F49">
        <v>19</v>
      </c>
      <c r="G49">
        <v>10</v>
      </c>
      <c r="H49">
        <v>1</v>
      </c>
      <c r="I49">
        <v>1</v>
      </c>
      <c r="J49">
        <v>13</v>
      </c>
      <c r="K49">
        <v>10</v>
      </c>
      <c r="L49">
        <v>5</v>
      </c>
      <c r="M49">
        <v>6</v>
      </c>
      <c r="N49">
        <v>8</v>
      </c>
      <c r="O49">
        <v>2</v>
      </c>
      <c r="P49">
        <v>0</v>
      </c>
      <c r="Q49">
        <v>6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f t="shared" si="2"/>
        <v>3.2307692307692308</v>
      </c>
      <c r="AD49">
        <f t="shared" si="3"/>
        <v>13</v>
      </c>
    </row>
    <row r="50" spans="2:30" x14ac:dyDescent="0.25">
      <c r="B50" t="s">
        <v>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9</v>
      </c>
      <c r="K50">
        <v>0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0</v>
      </c>
      <c r="S50">
        <v>2</v>
      </c>
      <c r="T50">
        <v>0</v>
      </c>
      <c r="U50">
        <v>0</v>
      </c>
      <c r="V50">
        <v>2</v>
      </c>
      <c r="W50">
        <v>0</v>
      </c>
      <c r="X50">
        <v>2</v>
      </c>
      <c r="Y50">
        <v>5</v>
      </c>
      <c r="Z50">
        <v>0</v>
      </c>
      <c r="AA50">
        <v>2</v>
      </c>
      <c r="AB50">
        <v>2</v>
      </c>
      <c r="AC50">
        <f t="shared" si="2"/>
        <v>1.3846153846153846</v>
      </c>
      <c r="AD50">
        <f t="shared" si="3"/>
        <v>13</v>
      </c>
    </row>
    <row r="51" spans="2:30" x14ac:dyDescent="0.25">
      <c r="B51" t="s">
        <v>84</v>
      </c>
      <c r="C51">
        <v>0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2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2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>
        <v>1</v>
      </c>
      <c r="Z51">
        <v>3</v>
      </c>
      <c r="AA51">
        <v>0</v>
      </c>
      <c r="AB51">
        <v>0</v>
      </c>
      <c r="AC51">
        <f t="shared" si="2"/>
        <v>0.69230769230769229</v>
      </c>
      <c r="AD51">
        <f t="shared" si="3"/>
        <v>14</v>
      </c>
    </row>
    <row r="52" spans="2:30" x14ac:dyDescent="0.25">
      <c r="B52" t="s">
        <v>136</v>
      </c>
      <c r="C52">
        <v>0</v>
      </c>
      <c r="D52">
        <v>0</v>
      </c>
      <c r="E52">
        <v>0</v>
      </c>
      <c r="F52">
        <v>12</v>
      </c>
      <c r="G52">
        <v>6</v>
      </c>
      <c r="H52">
        <v>0</v>
      </c>
      <c r="I52">
        <v>0</v>
      </c>
      <c r="J52">
        <v>16</v>
      </c>
      <c r="K52">
        <v>31</v>
      </c>
      <c r="L52">
        <v>7</v>
      </c>
      <c r="M52">
        <v>6</v>
      </c>
      <c r="N52">
        <v>0</v>
      </c>
      <c r="O52">
        <v>0</v>
      </c>
      <c r="P52">
        <v>0</v>
      </c>
      <c r="Q52">
        <v>1</v>
      </c>
      <c r="R52">
        <v>0</v>
      </c>
      <c r="S52">
        <v>38</v>
      </c>
      <c r="T52">
        <v>21</v>
      </c>
      <c r="U52">
        <v>18</v>
      </c>
      <c r="V52">
        <v>0</v>
      </c>
      <c r="W52">
        <v>0</v>
      </c>
      <c r="X52">
        <v>6</v>
      </c>
      <c r="Y52">
        <v>0</v>
      </c>
      <c r="Z52">
        <v>11</v>
      </c>
      <c r="AA52">
        <v>0</v>
      </c>
      <c r="AB52">
        <v>0</v>
      </c>
      <c r="AC52">
        <f t="shared" si="2"/>
        <v>6.6538461538461542</v>
      </c>
      <c r="AD52">
        <f t="shared" si="3"/>
        <v>14</v>
      </c>
    </row>
    <row r="53" spans="2:30" x14ac:dyDescent="0.25"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23</v>
      </c>
      <c r="N53">
        <v>17</v>
      </c>
      <c r="O53">
        <v>0</v>
      </c>
      <c r="P53">
        <v>3</v>
      </c>
      <c r="Q53">
        <v>9</v>
      </c>
      <c r="R53">
        <v>7</v>
      </c>
      <c r="S53">
        <v>4</v>
      </c>
      <c r="T53">
        <v>4</v>
      </c>
      <c r="U53">
        <v>0</v>
      </c>
      <c r="V53">
        <v>0</v>
      </c>
      <c r="W53">
        <v>1</v>
      </c>
      <c r="X53">
        <v>1</v>
      </c>
      <c r="Y53">
        <v>0</v>
      </c>
      <c r="Z53">
        <v>2</v>
      </c>
      <c r="AA53">
        <v>12</v>
      </c>
      <c r="AB53">
        <v>0</v>
      </c>
      <c r="AC53">
        <f t="shared" si="2"/>
        <v>3.2692307692307692</v>
      </c>
      <c r="AD53">
        <f t="shared" si="3"/>
        <v>14</v>
      </c>
    </row>
    <row r="54" spans="2:30" x14ac:dyDescent="0.25">
      <c r="B54" t="s">
        <v>213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3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1</v>
      </c>
      <c r="AA54">
        <v>1</v>
      </c>
      <c r="AB54">
        <v>1</v>
      </c>
      <c r="AC54">
        <f t="shared" si="2"/>
        <v>0.61538461538461542</v>
      </c>
      <c r="AD54">
        <f t="shared" si="3"/>
        <v>14</v>
      </c>
    </row>
    <row r="55" spans="2:30" x14ac:dyDescent="0.25">
      <c r="B55" t="s">
        <v>220</v>
      </c>
      <c r="C55">
        <v>0</v>
      </c>
      <c r="D55">
        <v>0</v>
      </c>
      <c r="E55">
        <v>0</v>
      </c>
      <c r="F55">
        <v>6</v>
      </c>
      <c r="G55">
        <v>0</v>
      </c>
      <c r="H55">
        <v>1</v>
      </c>
      <c r="I55">
        <v>7</v>
      </c>
      <c r="J55">
        <v>154</v>
      </c>
      <c r="K55">
        <v>7</v>
      </c>
      <c r="L55">
        <v>8</v>
      </c>
      <c r="M55">
        <v>73</v>
      </c>
      <c r="N55">
        <v>1</v>
      </c>
      <c r="O55">
        <v>0</v>
      </c>
      <c r="P55">
        <v>0</v>
      </c>
      <c r="Q55">
        <v>0</v>
      </c>
      <c r="R55">
        <v>73</v>
      </c>
      <c r="S55">
        <v>1</v>
      </c>
      <c r="T55">
        <v>0</v>
      </c>
      <c r="U55">
        <v>0</v>
      </c>
      <c r="V55">
        <v>0</v>
      </c>
      <c r="W55">
        <v>0</v>
      </c>
      <c r="X55">
        <v>467</v>
      </c>
      <c r="Y55">
        <v>0</v>
      </c>
      <c r="Z55">
        <v>0</v>
      </c>
      <c r="AA55">
        <v>479</v>
      </c>
      <c r="AB55">
        <v>0</v>
      </c>
      <c r="AC55">
        <f t="shared" si="2"/>
        <v>49.115384615384613</v>
      </c>
      <c r="AD55">
        <f t="shared" si="3"/>
        <v>14</v>
      </c>
    </row>
    <row r="56" spans="2:30" x14ac:dyDescent="0.25">
      <c r="B56" t="s">
        <v>62</v>
      </c>
      <c r="C56">
        <v>0</v>
      </c>
      <c r="D56">
        <v>3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2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4</v>
      </c>
      <c r="X56">
        <v>0</v>
      </c>
      <c r="Y56">
        <v>3</v>
      </c>
      <c r="Z56">
        <v>2</v>
      </c>
      <c r="AA56">
        <v>1</v>
      </c>
      <c r="AB56">
        <v>1</v>
      </c>
      <c r="AC56">
        <f t="shared" si="2"/>
        <v>0.76923076923076927</v>
      </c>
      <c r="AD56">
        <f t="shared" si="3"/>
        <v>15</v>
      </c>
    </row>
    <row r="57" spans="2:30" x14ac:dyDescent="0.25">
      <c r="B57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27</v>
      </c>
      <c r="U57">
        <v>151</v>
      </c>
      <c r="V57">
        <v>37</v>
      </c>
      <c r="W57">
        <v>4</v>
      </c>
      <c r="X57">
        <v>97</v>
      </c>
      <c r="Y57">
        <v>19</v>
      </c>
      <c r="Z57">
        <v>106</v>
      </c>
      <c r="AA57">
        <v>101</v>
      </c>
      <c r="AB57">
        <v>11</v>
      </c>
      <c r="AC57">
        <f t="shared" si="2"/>
        <v>21.346153846153847</v>
      </c>
      <c r="AD57">
        <f t="shared" si="3"/>
        <v>15</v>
      </c>
    </row>
    <row r="58" spans="2:30" x14ac:dyDescent="0.25">
      <c r="B58" t="s">
        <v>115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2</v>
      </c>
      <c r="X58">
        <v>1</v>
      </c>
      <c r="Y58">
        <v>1</v>
      </c>
      <c r="Z58">
        <v>1</v>
      </c>
      <c r="AA58">
        <v>1</v>
      </c>
      <c r="AB58">
        <v>1</v>
      </c>
      <c r="AC58">
        <f t="shared" si="2"/>
        <v>0.46153846153846156</v>
      </c>
      <c r="AD58">
        <f t="shared" si="3"/>
        <v>15</v>
      </c>
    </row>
    <row r="59" spans="2:30" x14ac:dyDescent="0.25">
      <c r="B59" t="s">
        <v>192</v>
      </c>
      <c r="C59">
        <v>0</v>
      </c>
      <c r="D59">
        <v>0</v>
      </c>
      <c r="E59">
        <v>0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24</v>
      </c>
      <c r="O59">
        <v>0</v>
      </c>
      <c r="P59">
        <v>0</v>
      </c>
      <c r="Q59">
        <v>32</v>
      </c>
      <c r="R59">
        <v>28</v>
      </c>
      <c r="S59">
        <v>12</v>
      </c>
      <c r="T59">
        <v>10</v>
      </c>
      <c r="U59">
        <v>8</v>
      </c>
      <c r="V59">
        <v>2</v>
      </c>
      <c r="W59">
        <v>0</v>
      </c>
      <c r="X59">
        <v>34</v>
      </c>
      <c r="Y59">
        <v>0</v>
      </c>
      <c r="Z59">
        <v>41</v>
      </c>
      <c r="AA59">
        <v>21</v>
      </c>
      <c r="AB59">
        <v>0</v>
      </c>
      <c r="AC59">
        <f t="shared" si="2"/>
        <v>8.4230769230769234</v>
      </c>
      <c r="AD59">
        <f t="shared" si="3"/>
        <v>15</v>
      </c>
    </row>
    <row r="60" spans="2:30" x14ac:dyDescent="0.25">
      <c r="B60" t="s">
        <v>211</v>
      </c>
      <c r="C60">
        <v>0</v>
      </c>
      <c r="D60">
        <v>0</v>
      </c>
      <c r="E60">
        <v>1</v>
      </c>
      <c r="F60">
        <v>3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2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3</v>
      </c>
      <c r="Y60">
        <v>1</v>
      </c>
      <c r="Z60">
        <v>0</v>
      </c>
      <c r="AA60">
        <v>1</v>
      </c>
      <c r="AB60">
        <v>1</v>
      </c>
      <c r="AC60">
        <f t="shared" si="2"/>
        <v>0.61538461538461542</v>
      </c>
      <c r="AD60">
        <f t="shared" si="3"/>
        <v>15</v>
      </c>
    </row>
    <row r="61" spans="2:30" x14ac:dyDescent="0.25">
      <c r="B61" t="s">
        <v>34</v>
      </c>
      <c r="C61">
        <v>0</v>
      </c>
      <c r="D61">
        <v>1</v>
      </c>
      <c r="E61">
        <v>0</v>
      </c>
      <c r="F61">
        <v>0</v>
      </c>
      <c r="G61">
        <v>3</v>
      </c>
      <c r="H61">
        <v>3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4</v>
      </c>
      <c r="P61">
        <v>0</v>
      </c>
      <c r="Q61">
        <v>0</v>
      </c>
      <c r="R61">
        <v>2</v>
      </c>
      <c r="S61">
        <v>0</v>
      </c>
      <c r="T61">
        <v>3</v>
      </c>
      <c r="U61">
        <v>0</v>
      </c>
      <c r="V61">
        <v>0</v>
      </c>
      <c r="W61">
        <v>0</v>
      </c>
      <c r="X61">
        <v>1</v>
      </c>
      <c r="Y61">
        <v>2</v>
      </c>
      <c r="Z61">
        <v>0</v>
      </c>
      <c r="AA61">
        <v>3</v>
      </c>
      <c r="AB61">
        <v>0</v>
      </c>
      <c r="AC61">
        <f t="shared" si="2"/>
        <v>0.88461538461538458</v>
      </c>
      <c r="AD61">
        <f t="shared" si="3"/>
        <v>16</v>
      </c>
    </row>
    <row r="62" spans="2:30" x14ac:dyDescent="0.25">
      <c r="B62" t="s">
        <v>65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0</v>
      </c>
      <c r="Z62">
        <v>3</v>
      </c>
      <c r="AA62">
        <v>1</v>
      </c>
      <c r="AB62">
        <v>1</v>
      </c>
      <c r="AC62">
        <f t="shared" si="2"/>
        <v>0.5</v>
      </c>
      <c r="AD62">
        <f t="shared" si="3"/>
        <v>16</v>
      </c>
    </row>
    <row r="63" spans="2:30" x14ac:dyDescent="0.25">
      <c r="B63" t="s">
        <v>144</v>
      </c>
      <c r="C63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4</v>
      </c>
      <c r="T63">
        <v>8</v>
      </c>
      <c r="U63">
        <v>0</v>
      </c>
      <c r="V63">
        <v>2</v>
      </c>
      <c r="W63">
        <v>0</v>
      </c>
      <c r="X63">
        <v>0</v>
      </c>
      <c r="Y63">
        <v>1</v>
      </c>
      <c r="Z63">
        <v>3</v>
      </c>
      <c r="AA63">
        <v>2</v>
      </c>
      <c r="AB63">
        <v>0</v>
      </c>
      <c r="AC63">
        <f t="shared" si="2"/>
        <v>1</v>
      </c>
      <c r="AD63">
        <f t="shared" si="3"/>
        <v>16</v>
      </c>
    </row>
    <row r="64" spans="2:30" x14ac:dyDescent="0.25">
      <c r="B64" t="s">
        <v>153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>
        <f t="shared" si="2"/>
        <v>0.38461538461538464</v>
      </c>
      <c r="AD64">
        <f t="shared" si="3"/>
        <v>16</v>
      </c>
    </row>
    <row r="65" spans="2:30" x14ac:dyDescent="0.25">
      <c r="B65" t="s">
        <v>188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166</v>
      </c>
      <c r="S65">
        <v>297</v>
      </c>
      <c r="T65">
        <v>319</v>
      </c>
      <c r="U65">
        <v>22</v>
      </c>
      <c r="V65">
        <v>7</v>
      </c>
      <c r="W65">
        <v>0</v>
      </c>
      <c r="X65">
        <v>18</v>
      </c>
      <c r="Y65">
        <v>0</v>
      </c>
      <c r="Z65">
        <v>6</v>
      </c>
      <c r="AA65">
        <v>4</v>
      </c>
      <c r="AB65">
        <v>4</v>
      </c>
      <c r="AC65">
        <f t="shared" si="2"/>
        <v>32.46153846153846</v>
      </c>
      <c r="AD65">
        <f t="shared" si="3"/>
        <v>16</v>
      </c>
    </row>
    <row r="66" spans="2:30" x14ac:dyDescent="0.25">
      <c r="B66" t="s">
        <v>197</v>
      </c>
      <c r="C66">
        <v>0</v>
      </c>
      <c r="D66">
        <v>2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6</v>
      </c>
      <c r="U66">
        <v>2</v>
      </c>
      <c r="V66">
        <v>0</v>
      </c>
      <c r="W66">
        <v>0</v>
      </c>
      <c r="X66">
        <v>1</v>
      </c>
      <c r="Y66">
        <v>1</v>
      </c>
      <c r="Z66">
        <v>2</v>
      </c>
      <c r="AA66">
        <v>0</v>
      </c>
      <c r="AB66">
        <v>1</v>
      </c>
      <c r="AC66">
        <f t="shared" si="2"/>
        <v>0.69230769230769229</v>
      </c>
      <c r="AD66">
        <f t="shared" si="3"/>
        <v>16</v>
      </c>
    </row>
    <row r="67" spans="2:30" x14ac:dyDescent="0.25">
      <c r="B67" t="s">
        <v>204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f t="shared" ref="AC67:AC98" si="4">AVERAGE(C67:AB67)</f>
        <v>0.38461538461538464</v>
      </c>
      <c r="AD67">
        <f t="shared" ref="AD67:AD98" si="5">COUNTIF(C67:AB67,"0")</f>
        <v>16</v>
      </c>
    </row>
    <row r="68" spans="2:30" x14ac:dyDescent="0.25">
      <c r="B68" t="s">
        <v>96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1</v>
      </c>
      <c r="Y68">
        <v>2</v>
      </c>
      <c r="Z68">
        <v>1</v>
      </c>
      <c r="AA68">
        <v>2</v>
      </c>
      <c r="AB68">
        <v>0</v>
      </c>
      <c r="AC68">
        <f t="shared" si="4"/>
        <v>0.46153846153846156</v>
      </c>
      <c r="AD68">
        <f t="shared" si="5"/>
        <v>17</v>
      </c>
    </row>
    <row r="69" spans="2:30" x14ac:dyDescent="0.25">
      <c r="B69" t="s">
        <v>98</v>
      </c>
      <c r="C69">
        <v>0</v>
      </c>
      <c r="D69">
        <v>0</v>
      </c>
      <c r="E69">
        <v>0</v>
      </c>
      <c r="F69">
        <v>1</v>
      </c>
      <c r="G69">
        <v>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3</v>
      </c>
      <c r="S69">
        <v>0</v>
      </c>
      <c r="T69">
        <v>0</v>
      </c>
      <c r="U69">
        <v>3</v>
      </c>
      <c r="V69">
        <v>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f t="shared" si="4"/>
        <v>0.57692307692307687</v>
      </c>
      <c r="AD69">
        <f t="shared" si="5"/>
        <v>17</v>
      </c>
    </row>
    <row r="70" spans="2:30" x14ac:dyDescent="0.25">
      <c r="B70" t="s">
        <v>116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1</v>
      </c>
      <c r="U70">
        <v>0</v>
      </c>
      <c r="V70">
        <v>2</v>
      </c>
      <c r="W70">
        <v>1</v>
      </c>
      <c r="X70">
        <v>0</v>
      </c>
      <c r="Y70">
        <v>0</v>
      </c>
      <c r="Z70">
        <v>2</v>
      </c>
      <c r="AA70">
        <v>1</v>
      </c>
      <c r="AB70">
        <v>0</v>
      </c>
      <c r="AC70">
        <f t="shared" si="4"/>
        <v>0.53846153846153844</v>
      </c>
      <c r="AD70">
        <f t="shared" si="5"/>
        <v>17</v>
      </c>
    </row>
    <row r="71" spans="2:30" x14ac:dyDescent="0.25">
      <c r="B71" t="s">
        <v>217</v>
      </c>
      <c r="C71">
        <v>0</v>
      </c>
      <c r="D71">
        <v>2</v>
      </c>
      <c r="E71">
        <v>2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</v>
      </c>
      <c r="T71">
        <v>6</v>
      </c>
      <c r="U71">
        <v>0</v>
      </c>
      <c r="V71">
        <v>0</v>
      </c>
      <c r="W71">
        <v>0</v>
      </c>
      <c r="X71">
        <v>2</v>
      </c>
      <c r="Y71">
        <v>1</v>
      </c>
      <c r="Z71">
        <v>5</v>
      </c>
      <c r="AA71">
        <v>0</v>
      </c>
      <c r="AB71">
        <v>1</v>
      </c>
      <c r="AC71">
        <f t="shared" si="4"/>
        <v>1.0384615384615385</v>
      </c>
      <c r="AD71">
        <f t="shared" si="5"/>
        <v>17</v>
      </c>
    </row>
    <row r="72" spans="2:30" x14ac:dyDescent="0.25">
      <c r="B72" t="s">
        <v>193</v>
      </c>
      <c r="C72">
        <v>0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4</v>
      </c>
      <c r="U72">
        <v>0</v>
      </c>
      <c r="V72">
        <v>1</v>
      </c>
      <c r="W72">
        <v>3</v>
      </c>
      <c r="X72">
        <v>0</v>
      </c>
      <c r="Y72">
        <v>2</v>
      </c>
      <c r="Z72">
        <v>1</v>
      </c>
      <c r="AA72">
        <v>1</v>
      </c>
      <c r="AB72">
        <v>0</v>
      </c>
      <c r="AC72">
        <f t="shared" si="4"/>
        <v>0.57692307692307687</v>
      </c>
      <c r="AD72">
        <f t="shared" si="5"/>
        <v>18</v>
      </c>
    </row>
    <row r="73" spans="2:30" x14ac:dyDescent="0.25">
      <c r="B73" t="s">
        <v>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18</v>
      </c>
      <c r="U73">
        <v>4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f t="shared" si="4"/>
        <v>1.0384615384615385</v>
      </c>
      <c r="AD73">
        <f t="shared" si="5"/>
        <v>19</v>
      </c>
    </row>
    <row r="74" spans="2:30" x14ac:dyDescent="0.25">
      <c r="B74" t="s">
        <v>132</v>
      </c>
      <c r="C74">
        <v>0</v>
      </c>
      <c r="D74">
        <v>7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15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f t="shared" si="4"/>
        <v>1.0384615384615385</v>
      </c>
      <c r="AD74">
        <f t="shared" si="5"/>
        <v>19</v>
      </c>
    </row>
    <row r="75" spans="2:30" x14ac:dyDescent="0.25">
      <c r="B75" t="s">
        <v>222</v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6</v>
      </c>
      <c r="U75">
        <v>0</v>
      </c>
      <c r="V75">
        <v>0</v>
      </c>
      <c r="W75">
        <v>0</v>
      </c>
      <c r="X75">
        <v>1</v>
      </c>
      <c r="Y75">
        <v>0</v>
      </c>
      <c r="Z75">
        <v>5</v>
      </c>
      <c r="AA75">
        <v>3</v>
      </c>
      <c r="AB75">
        <v>0</v>
      </c>
      <c r="AC75">
        <f t="shared" si="4"/>
        <v>0.76923076923076927</v>
      </c>
      <c r="AD75">
        <f t="shared" si="5"/>
        <v>19</v>
      </c>
    </row>
    <row r="76" spans="2:30" x14ac:dyDescent="0.25">
      <c r="B76" t="s">
        <v>39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f t="shared" si="4"/>
        <v>0.34615384615384615</v>
      </c>
      <c r="AD76">
        <f t="shared" si="5"/>
        <v>20</v>
      </c>
    </row>
    <row r="77" spans="2:30" x14ac:dyDescent="0.25">
      <c r="B77" t="s">
        <v>49</v>
      </c>
      <c r="C77">
        <v>0</v>
      </c>
      <c r="D77">
        <v>2</v>
      </c>
      <c r="E77">
        <v>0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f t="shared" si="4"/>
        <v>0.5</v>
      </c>
      <c r="AD77">
        <f t="shared" si="5"/>
        <v>20</v>
      </c>
    </row>
    <row r="78" spans="2:30" x14ac:dyDescent="0.25">
      <c r="B78" t="s">
        <v>80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1</v>
      </c>
      <c r="S78">
        <v>0</v>
      </c>
      <c r="T78">
        <v>3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f t="shared" si="4"/>
        <v>0.34615384615384615</v>
      </c>
      <c r="AD78">
        <f t="shared" si="5"/>
        <v>20</v>
      </c>
    </row>
    <row r="79" spans="2:30" x14ac:dyDescent="0.25">
      <c r="B79" t="s">
        <v>109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15</v>
      </c>
      <c r="V79">
        <v>0</v>
      </c>
      <c r="W79">
        <v>0</v>
      </c>
      <c r="X79">
        <v>3</v>
      </c>
      <c r="Y79">
        <v>0</v>
      </c>
      <c r="Z79">
        <v>7</v>
      </c>
      <c r="AA79">
        <v>5</v>
      </c>
      <c r="AB79">
        <v>5</v>
      </c>
      <c r="AC79">
        <f t="shared" si="4"/>
        <v>1.3846153846153846</v>
      </c>
      <c r="AD79">
        <f t="shared" si="5"/>
        <v>20</v>
      </c>
    </row>
    <row r="80" spans="2:30" x14ac:dyDescent="0.25">
      <c r="B80" t="s">
        <v>120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f t="shared" si="4"/>
        <v>0.23076923076923078</v>
      </c>
      <c r="AD80">
        <f t="shared" si="5"/>
        <v>20</v>
      </c>
    </row>
    <row r="81" spans="2:30" x14ac:dyDescent="0.25">
      <c r="B81" t="s">
        <v>138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</v>
      </c>
      <c r="U81">
        <v>2</v>
      </c>
      <c r="V81">
        <v>0</v>
      </c>
      <c r="W81">
        <v>0</v>
      </c>
      <c r="X81">
        <v>2</v>
      </c>
      <c r="Y81">
        <v>0</v>
      </c>
      <c r="Z81">
        <v>2</v>
      </c>
      <c r="AA81">
        <v>1</v>
      </c>
      <c r="AB81">
        <v>2</v>
      </c>
      <c r="AC81">
        <f t="shared" si="4"/>
        <v>0.80769230769230771</v>
      </c>
      <c r="AD81">
        <f t="shared" si="5"/>
        <v>20</v>
      </c>
    </row>
    <row r="82" spans="2:30" x14ac:dyDescent="0.25">
      <c r="B82" t="s">
        <v>158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2</v>
      </c>
      <c r="T82">
        <v>0</v>
      </c>
      <c r="U82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f t="shared" si="4"/>
        <v>0.26923076923076922</v>
      </c>
      <c r="AD82">
        <f t="shared" si="5"/>
        <v>20</v>
      </c>
    </row>
    <row r="83" spans="2:30" x14ac:dyDescent="0.25">
      <c r="B83" t="s">
        <v>175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f t="shared" si="4"/>
        <v>0.23076923076923078</v>
      </c>
      <c r="AD83">
        <f t="shared" si="5"/>
        <v>20</v>
      </c>
    </row>
    <row r="84" spans="2:30" x14ac:dyDescent="0.25">
      <c r="B84" t="s">
        <v>64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f t="shared" si="4"/>
        <v>0.23076923076923078</v>
      </c>
      <c r="AD84">
        <f t="shared" si="5"/>
        <v>21</v>
      </c>
    </row>
    <row r="85" spans="2:30" x14ac:dyDescent="0.25">
      <c r="B85" t="s">
        <v>85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f t="shared" si="4"/>
        <v>0.19230769230769232</v>
      </c>
      <c r="AD85">
        <f t="shared" si="5"/>
        <v>21</v>
      </c>
    </row>
    <row r="86" spans="2:30" x14ac:dyDescent="0.25">
      <c r="B86" t="s">
        <v>93</v>
      </c>
      <c r="C86">
        <v>0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f t="shared" si="4"/>
        <v>0.38461538461538464</v>
      </c>
      <c r="AD86">
        <f t="shared" si="5"/>
        <v>21</v>
      </c>
    </row>
    <row r="87" spans="2:30" x14ac:dyDescent="0.25">
      <c r="B87" t="s">
        <v>100</v>
      </c>
      <c r="C87">
        <v>0</v>
      </c>
      <c r="D87">
        <v>2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3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f t="shared" si="4"/>
        <v>0.30769230769230771</v>
      </c>
      <c r="AD87">
        <f t="shared" si="5"/>
        <v>21</v>
      </c>
    </row>
    <row r="88" spans="2:30" x14ac:dyDescent="0.25">
      <c r="B88" t="s">
        <v>160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33</v>
      </c>
      <c r="N88">
        <v>155</v>
      </c>
      <c r="O88">
        <v>0</v>
      </c>
      <c r="P88">
        <v>0</v>
      </c>
      <c r="Q88">
        <v>159</v>
      </c>
      <c r="R88">
        <v>159</v>
      </c>
      <c r="S88">
        <v>17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f t="shared" si="4"/>
        <v>20.115384615384617</v>
      </c>
      <c r="AD88">
        <f t="shared" si="5"/>
        <v>21</v>
      </c>
    </row>
    <row r="89" spans="2:30" x14ac:dyDescent="0.25">
      <c r="B89" t="s">
        <v>208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f t="shared" si="4"/>
        <v>0.19230769230769232</v>
      </c>
      <c r="AD89">
        <f t="shared" si="5"/>
        <v>21</v>
      </c>
    </row>
    <row r="90" spans="2:30" x14ac:dyDescent="0.25">
      <c r="B90" t="s">
        <v>36</v>
      </c>
      <c r="C90">
        <v>0</v>
      </c>
      <c r="D90">
        <v>3</v>
      </c>
      <c r="E90">
        <v>0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f t="shared" si="4"/>
        <v>0.38461538461538464</v>
      </c>
      <c r="AD90">
        <f t="shared" si="5"/>
        <v>22</v>
      </c>
    </row>
    <row r="91" spans="2:30" x14ac:dyDescent="0.25">
      <c r="B91" t="s">
        <v>117</v>
      </c>
      <c r="C91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8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f t="shared" si="4"/>
        <v>0.5</v>
      </c>
      <c r="AD91">
        <f t="shared" si="5"/>
        <v>22</v>
      </c>
    </row>
    <row r="92" spans="2:30" x14ac:dyDescent="0.25">
      <c r="B92" t="s">
        <v>148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f t="shared" si="4"/>
        <v>0.19230769230769232</v>
      </c>
      <c r="AD92">
        <f t="shared" si="5"/>
        <v>22</v>
      </c>
    </row>
    <row r="93" spans="2:30" x14ac:dyDescent="0.25">
      <c r="B93" t="s">
        <v>149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f t="shared" si="4"/>
        <v>0.15384615384615385</v>
      </c>
      <c r="AD93">
        <f t="shared" si="5"/>
        <v>22</v>
      </c>
    </row>
    <row r="94" spans="2:30" x14ac:dyDescent="0.25">
      <c r="B94" t="s">
        <v>198</v>
      </c>
      <c r="C94">
        <v>0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3</v>
      </c>
      <c r="U94">
        <v>0</v>
      </c>
      <c r="V94">
        <v>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f t="shared" si="4"/>
        <v>0.34615384615384615</v>
      </c>
      <c r="AD94">
        <f t="shared" si="5"/>
        <v>22</v>
      </c>
    </row>
    <row r="95" spans="2:30" x14ac:dyDescent="0.25">
      <c r="B95" t="s">
        <v>200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f t="shared" si="4"/>
        <v>0.23076923076923078</v>
      </c>
      <c r="AD95">
        <f t="shared" si="5"/>
        <v>22</v>
      </c>
    </row>
    <row r="96" spans="2:30" x14ac:dyDescent="0.25">
      <c r="B96" t="s">
        <v>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0</v>
      </c>
      <c r="AB96">
        <v>0</v>
      </c>
      <c r="AC96">
        <f t="shared" si="4"/>
        <v>0.15384615384615385</v>
      </c>
      <c r="AD96">
        <f t="shared" si="5"/>
        <v>23</v>
      </c>
    </row>
    <row r="97" spans="2:30" x14ac:dyDescent="0.25">
      <c r="B97" t="s">
        <v>63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f t="shared" si="4"/>
        <v>0.11538461538461539</v>
      </c>
      <c r="AD97">
        <f t="shared" si="5"/>
        <v>23</v>
      </c>
    </row>
    <row r="98" spans="2:30" x14ac:dyDescent="0.25">
      <c r="B98" t="s">
        <v>94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f t="shared" si="4"/>
        <v>0.34615384615384615</v>
      </c>
      <c r="AD98">
        <f t="shared" si="5"/>
        <v>23</v>
      </c>
    </row>
    <row r="99" spans="2:30" x14ac:dyDescent="0.25">
      <c r="B99" t="s">
        <v>95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6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f t="shared" ref="AC99:AC130" si="6">AVERAGE(C99:AB99)</f>
        <v>0.30769230769230771</v>
      </c>
      <c r="AD99">
        <f t="shared" ref="AD99:AD130" si="7">COUNTIF(C99:AB99,"0")</f>
        <v>23</v>
      </c>
    </row>
    <row r="100" spans="2:30" x14ac:dyDescent="0.25">
      <c r="B100" t="s">
        <v>124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f t="shared" si="6"/>
        <v>0.15384615384615385</v>
      </c>
      <c r="AD100">
        <f t="shared" si="7"/>
        <v>23</v>
      </c>
    </row>
    <row r="101" spans="2:30" x14ac:dyDescent="0.25">
      <c r="B101" t="s">
        <v>127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f t="shared" si="6"/>
        <v>0.15384615384615385</v>
      </c>
      <c r="AD101">
        <f t="shared" si="7"/>
        <v>23</v>
      </c>
    </row>
    <row r="102" spans="2:30" x14ac:dyDescent="0.25">
      <c r="B102" t="s">
        <v>142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f t="shared" si="6"/>
        <v>0.15384615384615385</v>
      </c>
      <c r="AD102">
        <f t="shared" si="7"/>
        <v>23</v>
      </c>
    </row>
    <row r="103" spans="2:30" x14ac:dyDescent="0.25">
      <c r="B103" t="s">
        <v>145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f t="shared" si="6"/>
        <v>0.19230769230769232</v>
      </c>
      <c r="AD103">
        <f t="shared" si="7"/>
        <v>23</v>
      </c>
    </row>
    <row r="104" spans="2:30" x14ac:dyDescent="0.25">
      <c r="B104" t="s">
        <v>150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f t="shared" si="6"/>
        <v>0.11538461538461539</v>
      </c>
      <c r="AD104">
        <f t="shared" si="7"/>
        <v>23</v>
      </c>
    </row>
    <row r="105" spans="2:30" x14ac:dyDescent="0.25">
      <c r="B105" t="s">
        <v>186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f t="shared" si="6"/>
        <v>0.11538461538461539</v>
      </c>
      <c r="AD105">
        <f t="shared" si="7"/>
        <v>23</v>
      </c>
    </row>
    <row r="106" spans="2:30" x14ac:dyDescent="0.25">
      <c r="B106" t="s">
        <v>219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f t="shared" si="6"/>
        <v>0.15384615384615385</v>
      </c>
      <c r="AD106">
        <f t="shared" si="7"/>
        <v>23</v>
      </c>
    </row>
    <row r="107" spans="2:30" x14ac:dyDescent="0.25">
      <c r="B107" t="s">
        <v>221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f t="shared" si="6"/>
        <v>0.11538461538461539</v>
      </c>
      <c r="AD107">
        <f t="shared" si="7"/>
        <v>23</v>
      </c>
    </row>
    <row r="108" spans="2:30" x14ac:dyDescent="0.25">
      <c r="B108" t="s">
        <v>75</v>
      </c>
      <c r="C108">
        <v>0</v>
      </c>
      <c r="D108">
        <v>0</v>
      </c>
      <c r="E108">
        <v>1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f t="shared" si="6"/>
        <v>0.23076923076923078</v>
      </c>
      <c r="AD108">
        <f t="shared" si="7"/>
        <v>24</v>
      </c>
    </row>
    <row r="109" spans="2:30" x14ac:dyDescent="0.25">
      <c r="B109" t="s">
        <v>126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f t="shared" si="6"/>
        <v>7.6923076923076927E-2</v>
      </c>
      <c r="AD109">
        <f t="shared" si="7"/>
        <v>24</v>
      </c>
    </row>
    <row r="110" spans="2:30" x14ac:dyDescent="0.25">
      <c r="B110" t="s">
        <v>134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f t="shared" si="6"/>
        <v>7.6923076923076927E-2</v>
      </c>
      <c r="AD110">
        <f t="shared" si="7"/>
        <v>24</v>
      </c>
    </row>
    <row r="111" spans="2:30" x14ac:dyDescent="0.25">
      <c r="B111" t="s">
        <v>180</v>
      </c>
      <c r="C111">
        <v>0</v>
      </c>
      <c r="D111">
        <v>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f t="shared" si="6"/>
        <v>0.23076923076923078</v>
      </c>
      <c r="AD111">
        <f t="shared" si="7"/>
        <v>24</v>
      </c>
    </row>
    <row r="112" spans="2:30" x14ac:dyDescent="0.25">
      <c r="B112" t="s">
        <v>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f t="shared" si="6"/>
        <v>3.8461538461538464E-2</v>
      </c>
      <c r="AD112">
        <f t="shared" si="7"/>
        <v>25</v>
      </c>
    </row>
    <row r="113" spans="2:30" x14ac:dyDescent="0.25">
      <c r="B113" t="s">
        <v>71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f t="shared" si="6"/>
        <v>7.6923076923076927E-2</v>
      </c>
      <c r="AD113">
        <f t="shared" si="7"/>
        <v>25</v>
      </c>
    </row>
    <row r="114" spans="2:30" x14ac:dyDescent="0.25">
      <c r="B114" t="s">
        <v>97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f t="shared" si="6"/>
        <v>7.6923076923076927E-2</v>
      </c>
      <c r="AD114">
        <f t="shared" si="7"/>
        <v>25</v>
      </c>
    </row>
    <row r="115" spans="2:30" x14ac:dyDescent="0.25">
      <c r="B115" t="s">
        <v>103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f t="shared" si="6"/>
        <v>3.8461538461538464E-2</v>
      </c>
      <c r="AD115">
        <f t="shared" si="7"/>
        <v>25</v>
      </c>
    </row>
    <row r="116" spans="2:30" x14ac:dyDescent="0.25">
      <c r="B116" t="s">
        <v>107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f t="shared" si="6"/>
        <v>7.6923076923076927E-2</v>
      </c>
      <c r="AD116">
        <f t="shared" si="7"/>
        <v>25</v>
      </c>
    </row>
    <row r="117" spans="2:30" x14ac:dyDescent="0.25">
      <c r="B117" t="s">
        <v>108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f t="shared" si="6"/>
        <v>0.23076923076923078</v>
      </c>
      <c r="AD117">
        <f t="shared" si="7"/>
        <v>25</v>
      </c>
    </row>
    <row r="118" spans="2:30" x14ac:dyDescent="0.25">
      <c r="B118" t="s">
        <v>111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f t="shared" si="6"/>
        <v>3.8461538461538464E-2</v>
      </c>
      <c r="AD118">
        <f t="shared" si="7"/>
        <v>25</v>
      </c>
    </row>
    <row r="119" spans="2:30" x14ac:dyDescent="0.25">
      <c r="B119" t="s">
        <v>135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f t="shared" si="6"/>
        <v>3.8461538461538464E-2</v>
      </c>
      <c r="AD119">
        <f t="shared" si="7"/>
        <v>25</v>
      </c>
    </row>
    <row r="120" spans="2:30" x14ac:dyDescent="0.25">
      <c r="B120" t="s">
        <v>141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f t="shared" si="6"/>
        <v>0.26923076923076922</v>
      </c>
      <c r="AD120">
        <f t="shared" si="7"/>
        <v>25</v>
      </c>
    </row>
    <row r="121" spans="2:30" x14ac:dyDescent="0.25">
      <c r="B121" t="s">
        <v>159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f t="shared" si="6"/>
        <v>3.8461538461538464E-2</v>
      </c>
      <c r="AD121">
        <f t="shared" si="7"/>
        <v>25</v>
      </c>
    </row>
    <row r="122" spans="2:30" x14ac:dyDescent="0.25">
      <c r="B122" t="s">
        <v>187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f t="shared" si="6"/>
        <v>7.6923076923076927E-2</v>
      </c>
      <c r="AD122">
        <f t="shared" si="7"/>
        <v>25</v>
      </c>
    </row>
    <row r="123" spans="2:30" x14ac:dyDescent="0.25">
      <c r="B123" t="s">
        <v>201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f t="shared" si="6"/>
        <v>7.6923076923076927E-2</v>
      </c>
      <c r="AD123">
        <f t="shared" si="7"/>
        <v>25</v>
      </c>
    </row>
    <row r="124" spans="2:30" x14ac:dyDescent="0.25">
      <c r="B124" t="s">
        <v>215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f t="shared" si="6"/>
        <v>7.6923076923076927E-2</v>
      </c>
      <c r="AD124">
        <f t="shared" si="7"/>
        <v>25</v>
      </c>
    </row>
    <row r="125" spans="2:30" x14ac:dyDescent="0.25">
      <c r="B125" t="s">
        <v>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f t="shared" si="6"/>
        <v>0</v>
      </c>
      <c r="AD125">
        <f t="shared" si="7"/>
        <v>26</v>
      </c>
    </row>
    <row r="126" spans="2:30" x14ac:dyDescent="0.25">
      <c r="B126" t="s">
        <v>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f t="shared" si="6"/>
        <v>0</v>
      </c>
      <c r="AD126">
        <f t="shared" si="7"/>
        <v>26</v>
      </c>
    </row>
    <row r="127" spans="2:30" x14ac:dyDescent="0.25">
      <c r="B127" t="s">
        <v>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f t="shared" si="6"/>
        <v>0</v>
      </c>
      <c r="AD127">
        <f t="shared" si="7"/>
        <v>26</v>
      </c>
    </row>
    <row r="128" spans="2:30" x14ac:dyDescent="0.25">
      <c r="B128" t="s">
        <v>42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f t="shared" si="6"/>
        <v>0</v>
      </c>
      <c r="AD128">
        <f t="shared" si="7"/>
        <v>26</v>
      </c>
    </row>
    <row r="129" spans="2:30" x14ac:dyDescent="0.25">
      <c r="B129" t="s">
        <v>43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f t="shared" si="6"/>
        <v>0</v>
      </c>
      <c r="AD129">
        <f t="shared" si="7"/>
        <v>26</v>
      </c>
    </row>
    <row r="130" spans="2:30" x14ac:dyDescent="0.25">
      <c r="B130" t="s">
        <v>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f t="shared" si="6"/>
        <v>0</v>
      </c>
      <c r="AD130">
        <f t="shared" si="7"/>
        <v>26</v>
      </c>
    </row>
    <row r="131" spans="2:30" x14ac:dyDescent="0.25">
      <c r="B131" t="s">
        <v>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f t="shared" ref="AC131:AC162" si="8">AVERAGE(C131:AB131)</f>
        <v>0</v>
      </c>
      <c r="AD131">
        <f t="shared" ref="AD131:AD162" si="9">COUNTIF(C131:AB131,"0")</f>
        <v>26</v>
      </c>
    </row>
    <row r="132" spans="2:30" x14ac:dyDescent="0.25">
      <c r="B132" t="s">
        <v>47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f t="shared" si="8"/>
        <v>0</v>
      </c>
      <c r="AD132">
        <f t="shared" si="9"/>
        <v>26</v>
      </c>
    </row>
    <row r="133" spans="2:30" x14ac:dyDescent="0.25">
      <c r="B133" t="s">
        <v>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f t="shared" si="8"/>
        <v>0</v>
      </c>
      <c r="AD133">
        <f t="shared" si="9"/>
        <v>26</v>
      </c>
    </row>
    <row r="134" spans="2:30" x14ac:dyDescent="0.25">
      <c r="B134" t="s">
        <v>50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f t="shared" si="8"/>
        <v>0</v>
      </c>
      <c r="AD134">
        <f t="shared" si="9"/>
        <v>26</v>
      </c>
    </row>
    <row r="135" spans="2:30" x14ac:dyDescent="0.25">
      <c r="B135" t="s">
        <v>53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f t="shared" si="8"/>
        <v>0</v>
      </c>
      <c r="AD135">
        <f t="shared" si="9"/>
        <v>26</v>
      </c>
    </row>
    <row r="136" spans="2:30" x14ac:dyDescent="0.25">
      <c r="B136" t="s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f t="shared" si="8"/>
        <v>0</v>
      </c>
      <c r="AD136">
        <f t="shared" si="9"/>
        <v>26</v>
      </c>
    </row>
    <row r="137" spans="2:30" x14ac:dyDescent="0.25">
      <c r="B137" t="s">
        <v>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f t="shared" si="8"/>
        <v>0</v>
      </c>
      <c r="AD137">
        <f t="shared" si="9"/>
        <v>26</v>
      </c>
    </row>
    <row r="138" spans="2:30" x14ac:dyDescent="0.25">
      <c r="B138" t="s">
        <v>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f t="shared" si="8"/>
        <v>0</v>
      </c>
      <c r="AD138">
        <f t="shared" si="9"/>
        <v>26</v>
      </c>
    </row>
    <row r="139" spans="2:30" x14ac:dyDescent="0.25">
      <c r="B139" t="s">
        <v>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f t="shared" si="8"/>
        <v>0</v>
      </c>
      <c r="AD139">
        <f t="shared" si="9"/>
        <v>26</v>
      </c>
    </row>
    <row r="140" spans="2:30" x14ac:dyDescent="0.25">
      <c r="B140" t="s">
        <v>68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f t="shared" si="8"/>
        <v>0</v>
      </c>
      <c r="AD140">
        <f t="shared" si="9"/>
        <v>26</v>
      </c>
    </row>
    <row r="141" spans="2:30" x14ac:dyDescent="0.25">
      <c r="B141" t="s">
        <v>69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f t="shared" si="8"/>
        <v>0</v>
      </c>
      <c r="AD141">
        <f t="shared" si="9"/>
        <v>26</v>
      </c>
    </row>
    <row r="142" spans="2:30" x14ac:dyDescent="0.25">
      <c r="B142" t="s">
        <v>74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f t="shared" si="8"/>
        <v>0</v>
      </c>
      <c r="AD142">
        <f t="shared" si="9"/>
        <v>26</v>
      </c>
    </row>
    <row r="143" spans="2:30" x14ac:dyDescent="0.25">
      <c r="B143" t="s">
        <v>79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f t="shared" si="8"/>
        <v>0</v>
      </c>
      <c r="AD143">
        <f t="shared" si="9"/>
        <v>26</v>
      </c>
    </row>
    <row r="144" spans="2:30" x14ac:dyDescent="0.25">
      <c r="B144" t="s">
        <v>82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f t="shared" si="8"/>
        <v>0</v>
      </c>
      <c r="AD144">
        <f t="shared" si="9"/>
        <v>26</v>
      </c>
    </row>
    <row r="145" spans="2:30" x14ac:dyDescent="0.25">
      <c r="B145" t="s">
        <v>83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f t="shared" si="8"/>
        <v>0</v>
      </c>
      <c r="AD145">
        <f t="shared" si="9"/>
        <v>26</v>
      </c>
    </row>
    <row r="146" spans="2:30" x14ac:dyDescent="0.25">
      <c r="B146" t="s">
        <v>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f t="shared" si="8"/>
        <v>0</v>
      </c>
      <c r="AD146">
        <f t="shared" si="9"/>
        <v>26</v>
      </c>
    </row>
    <row r="147" spans="2:30" x14ac:dyDescent="0.25">
      <c r="B147" t="s">
        <v>88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f t="shared" si="8"/>
        <v>0</v>
      </c>
      <c r="AD147">
        <f t="shared" si="9"/>
        <v>26</v>
      </c>
    </row>
    <row r="148" spans="2:30" x14ac:dyDescent="0.25">
      <c r="B148" t="s">
        <v>91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f t="shared" si="8"/>
        <v>0</v>
      </c>
      <c r="AD148">
        <f t="shared" si="9"/>
        <v>26</v>
      </c>
    </row>
    <row r="149" spans="2:30" x14ac:dyDescent="0.25">
      <c r="B149" t="s">
        <v>92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f t="shared" si="8"/>
        <v>0</v>
      </c>
      <c r="AD149">
        <f t="shared" si="9"/>
        <v>26</v>
      </c>
    </row>
    <row r="150" spans="2:30" x14ac:dyDescent="0.25">
      <c r="B150" t="s">
        <v>101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f t="shared" si="8"/>
        <v>0</v>
      </c>
      <c r="AD150">
        <f t="shared" si="9"/>
        <v>26</v>
      </c>
    </row>
    <row r="151" spans="2:30" x14ac:dyDescent="0.25">
      <c r="B151" t="s">
        <v>102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f t="shared" si="8"/>
        <v>0</v>
      </c>
      <c r="AD151">
        <f t="shared" si="9"/>
        <v>26</v>
      </c>
    </row>
    <row r="152" spans="2:30" x14ac:dyDescent="0.25">
      <c r="B152" t="s">
        <v>104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f t="shared" si="8"/>
        <v>0</v>
      </c>
      <c r="AD152">
        <f t="shared" si="9"/>
        <v>26</v>
      </c>
    </row>
    <row r="153" spans="2:30" x14ac:dyDescent="0.25">
      <c r="B153" t="s">
        <v>105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f t="shared" si="8"/>
        <v>0</v>
      </c>
      <c r="AD153">
        <f t="shared" si="9"/>
        <v>26</v>
      </c>
    </row>
    <row r="154" spans="2:30" x14ac:dyDescent="0.25">
      <c r="B154" t="s">
        <v>110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f t="shared" si="8"/>
        <v>0</v>
      </c>
      <c r="AD154">
        <f t="shared" si="9"/>
        <v>26</v>
      </c>
    </row>
    <row r="155" spans="2:30" x14ac:dyDescent="0.25">
      <c r="B155" t="s">
        <v>113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f t="shared" si="8"/>
        <v>0</v>
      </c>
      <c r="AD155">
        <f t="shared" si="9"/>
        <v>26</v>
      </c>
    </row>
    <row r="156" spans="2:30" x14ac:dyDescent="0.25">
      <c r="B156" t="s">
        <v>114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f t="shared" si="8"/>
        <v>0</v>
      </c>
      <c r="AD156">
        <f t="shared" si="9"/>
        <v>26</v>
      </c>
    </row>
    <row r="157" spans="2:30" x14ac:dyDescent="0.25">
      <c r="B157" t="s">
        <v>118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f t="shared" si="8"/>
        <v>0</v>
      </c>
      <c r="AD157">
        <f t="shared" si="9"/>
        <v>26</v>
      </c>
    </row>
    <row r="158" spans="2:30" x14ac:dyDescent="0.25">
      <c r="B158" t="s">
        <v>119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f t="shared" si="8"/>
        <v>0</v>
      </c>
      <c r="AD158">
        <f t="shared" si="9"/>
        <v>26</v>
      </c>
    </row>
    <row r="159" spans="2:30" x14ac:dyDescent="0.25">
      <c r="B159" t="s">
        <v>121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f t="shared" si="8"/>
        <v>0</v>
      </c>
      <c r="AD159">
        <f t="shared" si="9"/>
        <v>26</v>
      </c>
    </row>
    <row r="160" spans="2:30" x14ac:dyDescent="0.25">
      <c r="B160" t="s">
        <v>123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f t="shared" si="8"/>
        <v>0</v>
      </c>
      <c r="AD160">
        <f t="shared" si="9"/>
        <v>26</v>
      </c>
    </row>
    <row r="161" spans="2:30" x14ac:dyDescent="0.25">
      <c r="B161" t="s">
        <v>129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f t="shared" si="8"/>
        <v>0</v>
      </c>
      <c r="AD161">
        <f t="shared" si="9"/>
        <v>26</v>
      </c>
    </row>
    <row r="162" spans="2:30" x14ac:dyDescent="0.25">
      <c r="B162" t="s">
        <v>130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f t="shared" si="8"/>
        <v>0</v>
      </c>
      <c r="AD162">
        <f t="shared" si="9"/>
        <v>26</v>
      </c>
    </row>
    <row r="163" spans="2:30" x14ac:dyDescent="0.25">
      <c r="B163" t="s">
        <v>133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f t="shared" ref="AC163:AC194" si="10">AVERAGE(C163:AB163)</f>
        <v>0</v>
      </c>
      <c r="AD163">
        <f t="shared" ref="AD163:AD194" si="11">COUNTIF(C163:AB163,"0")</f>
        <v>26</v>
      </c>
    </row>
    <row r="164" spans="2:30" x14ac:dyDescent="0.25">
      <c r="B164" t="s">
        <v>137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f t="shared" si="10"/>
        <v>0</v>
      </c>
      <c r="AD164">
        <f t="shared" si="11"/>
        <v>26</v>
      </c>
    </row>
    <row r="165" spans="2:30" x14ac:dyDescent="0.25">
      <c r="B165" t="s">
        <v>146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f t="shared" si="10"/>
        <v>0</v>
      </c>
      <c r="AD165">
        <f t="shared" si="11"/>
        <v>26</v>
      </c>
    </row>
    <row r="166" spans="2:30" x14ac:dyDescent="0.25">
      <c r="B166" t="s">
        <v>147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f t="shared" si="10"/>
        <v>0</v>
      </c>
      <c r="AD166">
        <f t="shared" si="11"/>
        <v>26</v>
      </c>
    </row>
    <row r="167" spans="2:30" x14ac:dyDescent="0.25">
      <c r="B167" t="s">
        <v>154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f t="shared" si="10"/>
        <v>0</v>
      </c>
      <c r="AD167">
        <f t="shared" si="11"/>
        <v>26</v>
      </c>
    </row>
    <row r="168" spans="2:30" x14ac:dyDescent="0.25">
      <c r="B168" t="s">
        <v>155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f t="shared" si="10"/>
        <v>0</v>
      </c>
      <c r="AD168">
        <f t="shared" si="11"/>
        <v>26</v>
      </c>
    </row>
    <row r="169" spans="2:30" x14ac:dyDescent="0.25">
      <c r="B169" t="s">
        <v>156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f t="shared" si="10"/>
        <v>0</v>
      </c>
      <c r="AD169">
        <f t="shared" si="11"/>
        <v>26</v>
      </c>
    </row>
    <row r="170" spans="2:30" x14ac:dyDescent="0.25">
      <c r="B170" t="s">
        <v>157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f t="shared" si="10"/>
        <v>0</v>
      </c>
      <c r="AD170">
        <f t="shared" si="11"/>
        <v>26</v>
      </c>
    </row>
    <row r="171" spans="2:30" x14ac:dyDescent="0.25">
      <c r="B171" t="s">
        <v>161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f t="shared" si="10"/>
        <v>0</v>
      </c>
      <c r="AD171">
        <f t="shared" si="11"/>
        <v>26</v>
      </c>
    </row>
    <row r="172" spans="2:30" x14ac:dyDescent="0.25">
      <c r="B172" t="s">
        <v>162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f t="shared" si="10"/>
        <v>0</v>
      </c>
      <c r="AD172">
        <f t="shared" si="11"/>
        <v>26</v>
      </c>
    </row>
    <row r="173" spans="2:30" x14ac:dyDescent="0.25">
      <c r="B173" t="s">
        <v>165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f t="shared" si="10"/>
        <v>0</v>
      </c>
      <c r="AD173">
        <f t="shared" si="11"/>
        <v>26</v>
      </c>
    </row>
    <row r="174" spans="2:30" x14ac:dyDescent="0.25">
      <c r="B174" t="s">
        <v>166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f t="shared" si="10"/>
        <v>0</v>
      </c>
      <c r="AD174">
        <f t="shared" si="11"/>
        <v>26</v>
      </c>
    </row>
    <row r="175" spans="2:30" x14ac:dyDescent="0.25">
      <c r="B175" t="s">
        <v>168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f t="shared" si="10"/>
        <v>0</v>
      </c>
      <c r="AD175">
        <f t="shared" si="11"/>
        <v>26</v>
      </c>
    </row>
    <row r="176" spans="2:30" x14ac:dyDescent="0.25">
      <c r="B176" t="s">
        <v>169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f t="shared" si="10"/>
        <v>0</v>
      </c>
      <c r="AD176">
        <f t="shared" si="11"/>
        <v>26</v>
      </c>
    </row>
    <row r="177" spans="2:30" x14ac:dyDescent="0.25">
      <c r="B177" t="s">
        <v>171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f t="shared" si="10"/>
        <v>0</v>
      </c>
      <c r="AD177">
        <f t="shared" si="11"/>
        <v>26</v>
      </c>
    </row>
    <row r="178" spans="2:30" x14ac:dyDescent="0.25"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f t="shared" si="10"/>
        <v>0</v>
      </c>
      <c r="AD178">
        <f t="shared" si="11"/>
        <v>26</v>
      </c>
    </row>
    <row r="179" spans="2:30" x14ac:dyDescent="0.25">
      <c r="B179" t="s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f t="shared" si="10"/>
        <v>0</v>
      </c>
      <c r="AD179">
        <f t="shared" si="11"/>
        <v>26</v>
      </c>
    </row>
    <row r="180" spans="2:30" x14ac:dyDescent="0.25">
      <c r="B180" t="s">
        <v>179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f t="shared" si="10"/>
        <v>0</v>
      </c>
      <c r="AD180">
        <f t="shared" si="11"/>
        <v>26</v>
      </c>
    </row>
    <row r="181" spans="2:30" x14ac:dyDescent="0.25"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f t="shared" si="10"/>
        <v>0</v>
      </c>
      <c r="AD181">
        <f t="shared" si="11"/>
        <v>26</v>
      </c>
    </row>
    <row r="182" spans="2:30" x14ac:dyDescent="0.25">
      <c r="B182" t="s">
        <v>183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f t="shared" si="10"/>
        <v>0</v>
      </c>
      <c r="AD182">
        <f t="shared" si="11"/>
        <v>26</v>
      </c>
    </row>
    <row r="183" spans="2:30" x14ac:dyDescent="0.25">
      <c r="B183" t="s">
        <v>185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f t="shared" si="10"/>
        <v>0</v>
      </c>
      <c r="AD183">
        <f t="shared" si="11"/>
        <v>26</v>
      </c>
    </row>
    <row r="184" spans="2:30" x14ac:dyDescent="0.25">
      <c r="B184" t="s">
        <v>191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f t="shared" si="10"/>
        <v>0</v>
      </c>
      <c r="AD184">
        <f t="shared" si="11"/>
        <v>26</v>
      </c>
    </row>
    <row r="185" spans="2:30" x14ac:dyDescent="0.25">
      <c r="B185" t="s">
        <v>194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f t="shared" si="10"/>
        <v>0</v>
      </c>
      <c r="AD185">
        <f t="shared" si="11"/>
        <v>26</v>
      </c>
    </row>
    <row r="186" spans="2:30" x14ac:dyDescent="0.25">
      <c r="B186" t="s">
        <v>196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f t="shared" si="10"/>
        <v>0</v>
      </c>
      <c r="AD186">
        <f t="shared" si="11"/>
        <v>26</v>
      </c>
    </row>
    <row r="187" spans="2:30" x14ac:dyDescent="0.25">
      <c r="B187" t="s">
        <v>199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f t="shared" si="10"/>
        <v>0</v>
      </c>
      <c r="AD187">
        <f t="shared" si="11"/>
        <v>26</v>
      </c>
    </row>
    <row r="188" spans="2:30" x14ac:dyDescent="0.25">
      <c r="B188" t="s">
        <v>202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f t="shared" si="10"/>
        <v>0</v>
      </c>
      <c r="AD188">
        <f t="shared" si="11"/>
        <v>26</v>
      </c>
    </row>
    <row r="189" spans="2:30" x14ac:dyDescent="0.25">
      <c r="B189" t="s">
        <v>205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f t="shared" si="10"/>
        <v>0</v>
      </c>
      <c r="AD189">
        <f t="shared" si="11"/>
        <v>26</v>
      </c>
    </row>
    <row r="190" spans="2:30" x14ac:dyDescent="0.25">
      <c r="B190" t="s">
        <v>206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f t="shared" si="10"/>
        <v>0</v>
      </c>
      <c r="AD190">
        <f t="shared" si="11"/>
        <v>26</v>
      </c>
    </row>
    <row r="191" spans="2:30" x14ac:dyDescent="0.25">
      <c r="B191" t="s">
        <v>207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f t="shared" si="10"/>
        <v>0</v>
      </c>
      <c r="AD191">
        <f t="shared" si="11"/>
        <v>26</v>
      </c>
    </row>
    <row r="192" spans="2:30" x14ac:dyDescent="0.25">
      <c r="B192" t="s">
        <v>209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f t="shared" si="10"/>
        <v>0</v>
      </c>
      <c r="AD192">
        <f t="shared" si="11"/>
        <v>26</v>
      </c>
    </row>
    <row r="193" spans="2:30" x14ac:dyDescent="0.25">
      <c r="B193" t="s">
        <v>212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f t="shared" si="10"/>
        <v>0</v>
      </c>
      <c r="AD193">
        <f t="shared" si="11"/>
        <v>26</v>
      </c>
    </row>
    <row r="194" spans="2:30" x14ac:dyDescent="0.25">
      <c r="B194" t="s">
        <v>214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f t="shared" si="10"/>
        <v>0</v>
      </c>
      <c r="AD194">
        <f t="shared" si="11"/>
        <v>26</v>
      </c>
    </row>
  </sheetData>
  <autoFilter ref="B2:AD2" xr:uid="{100402C4-4FED-4FF3-BBF4-58DF893544AC}">
    <sortState xmlns:xlrd2="http://schemas.microsoft.com/office/spreadsheetml/2017/richdata2" ref="B3:AD194">
      <sortCondition ref="AD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9E0-3317-4803-A9EA-8B72F26477EA}">
  <dimension ref="B2:AF194"/>
  <sheetViews>
    <sheetView topLeftCell="B1" workbookViewId="0">
      <selection activeCell="B3" sqref="B3:B16"/>
    </sheetView>
  </sheetViews>
  <sheetFormatPr defaultRowHeight="15" x14ac:dyDescent="0.25"/>
  <cols>
    <col min="2" max="2" width="65" bestFit="1" customWidth="1"/>
    <col min="3" max="30" width="24.28515625" bestFit="1" customWidth="1"/>
    <col min="31" max="31" width="21.140625" bestFit="1" customWidth="1"/>
    <col min="32" max="32" width="23.42578125" bestFit="1" customWidth="1"/>
  </cols>
  <sheetData>
    <row r="2" spans="2:32" x14ac:dyDescent="0.25">
      <c r="B2" t="s">
        <v>225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269</v>
      </c>
      <c r="T2" t="s">
        <v>270</v>
      </c>
      <c r="U2" t="s">
        <v>271</v>
      </c>
      <c r="V2" t="s">
        <v>272</v>
      </c>
      <c r="W2" t="s">
        <v>273</v>
      </c>
      <c r="X2" t="s">
        <v>274</v>
      </c>
      <c r="Y2" t="s">
        <v>275</v>
      </c>
      <c r="Z2" t="s">
        <v>276</v>
      </c>
      <c r="AA2" t="s">
        <v>277</v>
      </c>
      <c r="AB2" t="s">
        <v>278</v>
      </c>
      <c r="AC2" t="s">
        <v>279</v>
      </c>
      <c r="AD2" t="s">
        <v>280</v>
      </c>
      <c r="AE2" t="s">
        <v>224</v>
      </c>
      <c r="AF2" t="s">
        <v>226</v>
      </c>
    </row>
    <row r="3" spans="2:32" x14ac:dyDescent="0.25">
      <c r="B3" s="1" t="s">
        <v>32</v>
      </c>
      <c r="C3">
        <v>3</v>
      </c>
      <c r="D3">
        <v>7</v>
      </c>
      <c r="E3">
        <v>556</v>
      </c>
      <c r="F3">
        <v>372</v>
      </c>
      <c r="G3">
        <v>6</v>
      </c>
      <c r="H3">
        <v>9</v>
      </c>
      <c r="I3">
        <v>998</v>
      </c>
      <c r="J3">
        <v>45</v>
      </c>
      <c r="K3">
        <v>9</v>
      </c>
      <c r="L3">
        <v>8</v>
      </c>
      <c r="M3">
        <v>10</v>
      </c>
      <c r="N3">
        <v>10</v>
      </c>
      <c r="O3">
        <v>7</v>
      </c>
      <c r="P3">
        <v>10</v>
      </c>
      <c r="Q3">
        <v>13</v>
      </c>
      <c r="R3">
        <v>9</v>
      </c>
      <c r="S3">
        <v>10</v>
      </c>
      <c r="T3">
        <v>9</v>
      </c>
      <c r="U3">
        <v>8</v>
      </c>
      <c r="V3">
        <v>9</v>
      </c>
      <c r="W3">
        <v>10</v>
      </c>
      <c r="X3">
        <v>9</v>
      </c>
      <c r="Y3">
        <v>10</v>
      </c>
      <c r="Z3">
        <v>9</v>
      </c>
      <c r="AA3">
        <v>8</v>
      </c>
      <c r="AB3">
        <v>9</v>
      </c>
      <c r="AC3">
        <v>8</v>
      </c>
      <c r="AD3">
        <v>8</v>
      </c>
      <c r="AE3">
        <f t="shared" ref="AE3:AE34" si="0">AVERAGE(C3:AD3)</f>
        <v>77.821428571428569</v>
      </c>
      <c r="AF3">
        <f t="shared" ref="AF3:AF34" si="1">COUNTIF(C3:AD3,"0")</f>
        <v>0</v>
      </c>
    </row>
    <row r="4" spans="2:32" x14ac:dyDescent="0.25">
      <c r="B4" s="1" t="s">
        <v>33</v>
      </c>
      <c r="C4">
        <v>1406</v>
      </c>
      <c r="D4">
        <v>23270</v>
      </c>
      <c r="E4">
        <v>26795</v>
      </c>
      <c r="F4">
        <v>23993</v>
      </c>
      <c r="G4">
        <v>17582</v>
      </c>
      <c r="H4">
        <v>16215</v>
      </c>
      <c r="I4">
        <v>39175</v>
      </c>
      <c r="J4">
        <v>27335</v>
      </c>
      <c r="K4">
        <v>31220</v>
      </c>
      <c r="L4">
        <v>35343</v>
      </c>
      <c r="M4">
        <v>35025</v>
      </c>
      <c r="N4">
        <v>21619</v>
      </c>
      <c r="O4">
        <v>16926</v>
      </c>
      <c r="P4">
        <v>59980</v>
      </c>
      <c r="Q4">
        <v>39924</v>
      </c>
      <c r="R4">
        <v>33652</v>
      </c>
      <c r="S4">
        <v>26731</v>
      </c>
      <c r="T4">
        <v>35379</v>
      </c>
      <c r="U4">
        <v>40434</v>
      </c>
      <c r="V4">
        <v>29584</v>
      </c>
      <c r="W4">
        <v>39491</v>
      </c>
      <c r="X4">
        <v>28531</v>
      </c>
      <c r="Y4">
        <v>27046</v>
      </c>
      <c r="Z4">
        <v>34655</v>
      </c>
      <c r="AA4">
        <v>20793</v>
      </c>
      <c r="AB4">
        <v>22486</v>
      </c>
      <c r="AC4">
        <v>26825</v>
      </c>
      <c r="AD4">
        <v>17966</v>
      </c>
      <c r="AE4">
        <f t="shared" si="0"/>
        <v>28549.321428571428</v>
      </c>
      <c r="AF4">
        <f t="shared" si="1"/>
        <v>0</v>
      </c>
    </row>
    <row r="5" spans="2:32" x14ac:dyDescent="0.25">
      <c r="B5" s="1" t="s">
        <v>35</v>
      </c>
      <c r="C5">
        <v>3</v>
      </c>
      <c r="D5">
        <v>403</v>
      </c>
      <c r="E5">
        <v>615</v>
      </c>
      <c r="F5">
        <v>502</v>
      </c>
      <c r="G5">
        <v>488</v>
      </c>
      <c r="H5">
        <v>390</v>
      </c>
      <c r="I5">
        <v>565</v>
      </c>
      <c r="J5">
        <v>405</v>
      </c>
      <c r="K5">
        <v>4322</v>
      </c>
      <c r="L5">
        <v>6321</v>
      </c>
      <c r="M5">
        <v>6503</v>
      </c>
      <c r="N5">
        <v>6674</v>
      </c>
      <c r="O5">
        <v>6686</v>
      </c>
      <c r="P5">
        <v>6787</v>
      </c>
      <c r="Q5">
        <v>8419</v>
      </c>
      <c r="R5">
        <v>9498</v>
      </c>
      <c r="S5">
        <v>8298</v>
      </c>
      <c r="T5">
        <v>8220</v>
      </c>
      <c r="U5">
        <v>6702</v>
      </c>
      <c r="V5">
        <v>6671</v>
      </c>
      <c r="W5">
        <v>5840</v>
      </c>
      <c r="X5">
        <v>5582</v>
      </c>
      <c r="Y5">
        <v>6727</v>
      </c>
      <c r="Z5">
        <v>8222</v>
      </c>
      <c r="AA5">
        <v>6679</v>
      </c>
      <c r="AB5">
        <v>6671</v>
      </c>
      <c r="AC5">
        <v>6675</v>
      </c>
      <c r="AD5">
        <v>6661</v>
      </c>
      <c r="AE5">
        <f t="shared" si="0"/>
        <v>5054.6071428571431</v>
      </c>
      <c r="AF5">
        <f t="shared" si="1"/>
        <v>0</v>
      </c>
    </row>
    <row r="6" spans="2:32" x14ac:dyDescent="0.25">
      <c r="B6" s="1" t="s">
        <v>66</v>
      </c>
      <c r="C6">
        <v>2</v>
      </c>
      <c r="D6">
        <v>97</v>
      </c>
      <c r="E6">
        <v>74</v>
      </c>
      <c r="F6">
        <v>76</v>
      </c>
      <c r="G6">
        <v>34</v>
      </c>
      <c r="H6">
        <v>19</v>
      </c>
      <c r="I6">
        <v>87</v>
      </c>
      <c r="J6">
        <v>96</v>
      </c>
      <c r="K6">
        <v>45</v>
      </c>
      <c r="L6">
        <v>54</v>
      </c>
      <c r="M6">
        <v>84</v>
      </c>
      <c r="N6">
        <v>19</v>
      </c>
      <c r="O6">
        <v>32</v>
      </c>
      <c r="P6">
        <v>78</v>
      </c>
      <c r="Q6">
        <v>133</v>
      </c>
      <c r="R6">
        <v>90</v>
      </c>
      <c r="S6">
        <v>72</v>
      </c>
      <c r="T6">
        <v>95</v>
      </c>
      <c r="U6">
        <v>31</v>
      </c>
      <c r="V6">
        <v>14</v>
      </c>
      <c r="W6">
        <v>60</v>
      </c>
      <c r="X6">
        <v>77</v>
      </c>
      <c r="Y6">
        <v>56</v>
      </c>
      <c r="Z6">
        <v>86</v>
      </c>
      <c r="AA6">
        <v>37</v>
      </c>
      <c r="AB6">
        <v>31</v>
      </c>
      <c r="AC6">
        <v>20</v>
      </c>
      <c r="AD6">
        <v>35</v>
      </c>
      <c r="AE6">
        <f t="shared" si="0"/>
        <v>58.357142857142854</v>
      </c>
      <c r="AF6">
        <f t="shared" si="1"/>
        <v>0</v>
      </c>
    </row>
    <row r="7" spans="2:32" x14ac:dyDescent="0.25">
      <c r="B7" s="1" t="s">
        <v>125</v>
      </c>
      <c r="C7">
        <v>131</v>
      </c>
      <c r="D7">
        <v>1061</v>
      </c>
      <c r="E7">
        <v>1350</v>
      </c>
      <c r="F7">
        <v>1114</v>
      </c>
      <c r="G7">
        <v>1145</v>
      </c>
      <c r="H7">
        <v>1618</v>
      </c>
      <c r="I7">
        <v>1645</v>
      </c>
      <c r="J7">
        <v>1547</v>
      </c>
      <c r="K7">
        <v>1992</v>
      </c>
      <c r="L7">
        <v>2055</v>
      </c>
      <c r="M7">
        <v>2566</v>
      </c>
      <c r="N7">
        <v>2356</v>
      </c>
      <c r="O7">
        <v>2228</v>
      </c>
      <c r="P7">
        <v>2565</v>
      </c>
      <c r="Q7">
        <v>1752</v>
      </c>
      <c r="R7">
        <v>2829</v>
      </c>
      <c r="S7">
        <v>2786</v>
      </c>
      <c r="T7">
        <v>2121</v>
      </c>
      <c r="U7">
        <v>1707</v>
      </c>
      <c r="V7">
        <v>1817</v>
      </c>
      <c r="W7">
        <v>2957</v>
      </c>
      <c r="X7">
        <v>2074</v>
      </c>
      <c r="Y7">
        <v>1675</v>
      </c>
      <c r="Z7">
        <v>1888</v>
      </c>
      <c r="AA7">
        <v>2133</v>
      </c>
      <c r="AB7">
        <v>1867</v>
      </c>
      <c r="AC7">
        <v>2416</v>
      </c>
      <c r="AD7">
        <v>1932</v>
      </c>
      <c r="AE7">
        <f t="shared" si="0"/>
        <v>1904.5357142857142</v>
      </c>
      <c r="AF7">
        <f t="shared" si="1"/>
        <v>0</v>
      </c>
    </row>
    <row r="8" spans="2:32" x14ac:dyDescent="0.25">
      <c r="B8" s="1" t="s">
        <v>152</v>
      </c>
      <c r="C8">
        <v>2</v>
      </c>
      <c r="D8">
        <v>19</v>
      </c>
      <c r="E8">
        <v>20</v>
      </c>
      <c r="F8">
        <v>13</v>
      </c>
      <c r="G8">
        <v>27</v>
      </c>
      <c r="H8">
        <v>29</v>
      </c>
      <c r="I8">
        <v>15</v>
      </c>
      <c r="J8">
        <v>30</v>
      </c>
      <c r="K8">
        <v>25</v>
      </c>
      <c r="L8">
        <v>25</v>
      </c>
      <c r="M8">
        <v>20</v>
      </c>
      <c r="N8">
        <v>12</v>
      </c>
      <c r="O8">
        <v>10</v>
      </c>
      <c r="P8">
        <v>23</v>
      </c>
      <c r="Q8">
        <v>36</v>
      </c>
      <c r="R8">
        <v>48</v>
      </c>
      <c r="S8">
        <v>47</v>
      </c>
      <c r="T8">
        <v>49</v>
      </c>
      <c r="U8">
        <v>47</v>
      </c>
      <c r="V8">
        <v>48</v>
      </c>
      <c r="W8">
        <v>31</v>
      </c>
      <c r="X8">
        <v>41</v>
      </c>
      <c r="Y8">
        <v>38</v>
      </c>
      <c r="Z8">
        <v>21</v>
      </c>
      <c r="AA8">
        <v>35</v>
      </c>
      <c r="AB8">
        <v>47</v>
      </c>
      <c r="AC8">
        <v>34</v>
      </c>
      <c r="AD8">
        <v>15</v>
      </c>
      <c r="AE8">
        <f t="shared" si="0"/>
        <v>28.821428571428573</v>
      </c>
      <c r="AF8">
        <f t="shared" si="1"/>
        <v>0</v>
      </c>
    </row>
    <row r="9" spans="2:32" x14ac:dyDescent="0.25">
      <c r="B9" s="1" t="s">
        <v>203</v>
      </c>
      <c r="C9">
        <v>2</v>
      </c>
      <c r="D9">
        <v>5</v>
      </c>
      <c r="E9">
        <v>10</v>
      </c>
      <c r="F9">
        <v>16</v>
      </c>
      <c r="G9">
        <v>12</v>
      </c>
      <c r="H9">
        <v>4</v>
      </c>
      <c r="I9">
        <v>19</v>
      </c>
      <c r="J9">
        <v>9</v>
      </c>
      <c r="K9">
        <v>18</v>
      </c>
      <c r="L9">
        <v>23</v>
      </c>
      <c r="M9">
        <v>38</v>
      </c>
      <c r="N9">
        <v>19</v>
      </c>
      <c r="O9">
        <v>9</v>
      </c>
      <c r="P9">
        <v>16</v>
      </c>
      <c r="Q9">
        <v>18</v>
      </c>
      <c r="R9">
        <v>22</v>
      </c>
      <c r="S9">
        <v>16</v>
      </c>
      <c r="T9">
        <v>17</v>
      </c>
      <c r="U9">
        <v>21</v>
      </c>
      <c r="V9">
        <v>4</v>
      </c>
      <c r="W9">
        <v>13</v>
      </c>
      <c r="X9">
        <v>6</v>
      </c>
      <c r="Y9">
        <v>10</v>
      </c>
      <c r="Z9">
        <v>30</v>
      </c>
      <c r="AA9">
        <v>5</v>
      </c>
      <c r="AB9">
        <v>13</v>
      </c>
      <c r="AC9">
        <v>8</v>
      </c>
      <c r="AD9">
        <v>2</v>
      </c>
      <c r="AE9">
        <f t="shared" si="0"/>
        <v>13.75</v>
      </c>
      <c r="AF9">
        <f t="shared" si="1"/>
        <v>0</v>
      </c>
    </row>
    <row r="10" spans="2:32" x14ac:dyDescent="0.25">
      <c r="B10" s="1" t="s">
        <v>216</v>
      </c>
      <c r="C10">
        <v>376</v>
      </c>
      <c r="D10">
        <v>2078</v>
      </c>
      <c r="E10">
        <v>2525</v>
      </c>
      <c r="F10">
        <v>2677</v>
      </c>
      <c r="G10">
        <v>2303</v>
      </c>
      <c r="H10">
        <v>2186</v>
      </c>
      <c r="I10">
        <v>2185</v>
      </c>
      <c r="J10">
        <v>2047</v>
      </c>
      <c r="K10">
        <v>1959</v>
      </c>
      <c r="L10">
        <v>2539</v>
      </c>
      <c r="M10">
        <v>2403</v>
      </c>
      <c r="N10">
        <v>2465</v>
      </c>
      <c r="O10">
        <v>2158</v>
      </c>
      <c r="P10">
        <v>2671</v>
      </c>
      <c r="Q10">
        <v>2635</v>
      </c>
      <c r="R10">
        <v>2629</v>
      </c>
      <c r="S10">
        <v>3877</v>
      </c>
      <c r="T10">
        <v>3513</v>
      </c>
      <c r="U10">
        <v>3996</v>
      </c>
      <c r="V10">
        <v>3584</v>
      </c>
      <c r="W10">
        <v>4363</v>
      </c>
      <c r="X10">
        <v>2496</v>
      </c>
      <c r="Y10">
        <v>1016</v>
      </c>
      <c r="Z10">
        <v>1250</v>
      </c>
      <c r="AA10">
        <v>1181</v>
      </c>
      <c r="AB10">
        <v>1105</v>
      </c>
      <c r="AC10">
        <v>1104</v>
      </c>
      <c r="AD10">
        <v>1096</v>
      </c>
      <c r="AE10">
        <f t="shared" si="0"/>
        <v>2300.6071428571427</v>
      </c>
      <c r="AF10">
        <f t="shared" si="1"/>
        <v>0</v>
      </c>
    </row>
    <row r="11" spans="2:32" x14ac:dyDescent="0.25">
      <c r="B11" s="1" t="s">
        <v>218</v>
      </c>
      <c r="C11">
        <v>723</v>
      </c>
      <c r="D11">
        <v>4110</v>
      </c>
      <c r="E11">
        <v>4364</v>
      </c>
      <c r="F11">
        <v>4501</v>
      </c>
      <c r="G11">
        <v>4569</v>
      </c>
      <c r="H11">
        <v>4468</v>
      </c>
      <c r="I11">
        <v>4362</v>
      </c>
      <c r="J11">
        <v>4634</v>
      </c>
      <c r="K11">
        <v>4794</v>
      </c>
      <c r="L11">
        <v>5751</v>
      </c>
      <c r="M11">
        <v>5809</v>
      </c>
      <c r="N11">
        <v>5940</v>
      </c>
      <c r="O11">
        <v>4853</v>
      </c>
      <c r="P11">
        <v>5702</v>
      </c>
      <c r="Q11">
        <v>5914</v>
      </c>
      <c r="R11">
        <v>5628</v>
      </c>
      <c r="S11">
        <v>5768</v>
      </c>
      <c r="T11">
        <v>5672</v>
      </c>
      <c r="U11">
        <v>4000</v>
      </c>
      <c r="V11">
        <v>5654</v>
      </c>
      <c r="W11">
        <v>5855</v>
      </c>
      <c r="X11">
        <v>5761</v>
      </c>
      <c r="Y11">
        <v>5688</v>
      </c>
      <c r="Z11">
        <v>5852</v>
      </c>
      <c r="AA11">
        <v>5819</v>
      </c>
      <c r="AB11">
        <v>5646</v>
      </c>
      <c r="AC11">
        <v>5046</v>
      </c>
      <c r="AD11">
        <v>5763</v>
      </c>
      <c r="AE11">
        <f t="shared" si="0"/>
        <v>5094.5</v>
      </c>
      <c r="AF11">
        <f t="shared" si="1"/>
        <v>0</v>
      </c>
    </row>
    <row r="12" spans="2:32" x14ac:dyDescent="0.25">
      <c r="B12" s="1" t="s">
        <v>143</v>
      </c>
      <c r="C12">
        <v>5</v>
      </c>
      <c r="D12">
        <v>181</v>
      </c>
      <c r="E12">
        <v>100</v>
      </c>
      <c r="F12">
        <v>72</v>
      </c>
      <c r="G12">
        <v>33</v>
      </c>
      <c r="H12">
        <v>186</v>
      </c>
      <c r="I12">
        <v>727</v>
      </c>
      <c r="J12">
        <v>623</v>
      </c>
      <c r="K12">
        <v>81</v>
      </c>
      <c r="L12">
        <v>158</v>
      </c>
      <c r="M12">
        <v>107</v>
      </c>
      <c r="N12">
        <v>38</v>
      </c>
      <c r="O12">
        <v>74</v>
      </c>
      <c r="P12">
        <v>0</v>
      </c>
      <c r="Q12">
        <v>120</v>
      </c>
      <c r="R12">
        <v>82</v>
      </c>
      <c r="S12">
        <v>101</v>
      </c>
      <c r="T12">
        <v>109</v>
      </c>
      <c r="U12">
        <v>50</v>
      </c>
      <c r="V12">
        <v>45</v>
      </c>
      <c r="W12">
        <v>87</v>
      </c>
      <c r="X12">
        <v>52</v>
      </c>
      <c r="Y12">
        <v>106</v>
      </c>
      <c r="Z12">
        <v>122</v>
      </c>
      <c r="AA12">
        <v>48</v>
      </c>
      <c r="AB12">
        <v>48</v>
      </c>
      <c r="AC12">
        <v>51</v>
      </c>
      <c r="AD12">
        <v>44</v>
      </c>
      <c r="AE12">
        <f t="shared" si="0"/>
        <v>123.21428571428571</v>
      </c>
      <c r="AF12">
        <f t="shared" si="1"/>
        <v>1</v>
      </c>
    </row>
    <row r="13" spans="2:32" x14ac:dyDescent="0.25">
      <c r="B13" s="1" t="s">
        <v>112</v>
      </c>
      <c r="C13">
        <v>0</v>
      </c>
      <c r="D13">
        <v>4</v>
      </c>
      <c r="E13">
        <v>5</v>
      </c>
      <c r="F13">
        <v>7</v>
      </c>
      <c r="G13">
        <v>1</v>
      </c>
      <c r="H13">
        <v>1</v>
      </c>
      <c r="I13">
        <v>8</v>
      </c>
      <c r="J13">
        <v>4</v>
      </c>
      <c r="K13">
        <v>29</v>
      </c>
      <c r="L13">
        <v>18</v>
      </c>
      <c r="M13">
        <v>11</v>
      </c>
      <c r="N13">
        <v>1</v>
      </c>
      <c r="O13">
        <v>0</v>
      </c>
      <c r="P13">
        <v>5</v>
      </c>
      <c r="Q13">
        <v>4</v>
      </c>
      <c r="R13">
        <v>4</v>
      </c>
      <c r="S13">
        <v>16</v>
      </c>
      <c r="T13">
        <v>9</v>
      </c>
      <c r="U13">
        <v>1</v>
      </c>
      <c r="V13">
        <v>1</v>
      </c>
      <c r="W13">
        <v>5</v>
      </c>
      <c r="X13">
        <v>15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f t="shared" si="0"/>
        <v>5.5357142857142856</v>
      </c>
      <c r="AF13">
        <f t="shared" si="1"/>
        <v>2</v>
      </c>
    </row>
    <row r="14" spans="2:32" x14ac:dyDescent="0.25">
      <c r="B14" s="1" t="s">
        <v>151</v>
      </c>
      <c r="C14">
        <v>57</v>
      </c>
      <c r="D14">
        <v>982</v>
      </c>
      <c r="E14">
        <v>1012</v>
      </c>
      <c r="F14">
        <v>623</v>
      </c>
      <c r="G14">
        <v>901</v>
      </c>
      <c r="H14">
        <v>1091</v>
      </c>
      <c r="I14">
        <v>998</v>
      </c>
      <c r="J14">
        <v>1017</v>
      </c>
      <c r="K14">
        <v>1298</v>
      </c>
      <c r="L14">
        <v>1321</v>
      </c>
      <c r="M14">
        <v>672</v>
      </c>
      <c r="N14">
        <v>1233</v>
      </c>
      <c r="O14">
        <v>1466</v>
      </c>
      <c r="P14">
        <v>1466</v>
      </c>
      <c r="Q14">
        <v>11</v>
      </c>
      <c r="R14">
        <v>1319</v>
      </c>
      <c r="S14">
        <v>1188</v>
      </c>
      <c r="T14">
        <v>1371</v>
      </c>
      <c r="U14">
        <v>1050</v>
      </c>
      <c r="V14">
        <v>1006</v>
      </c>
      <c r="W14">
        <v>2</v>
      </c>
      <c r="X14">
        <v>1285</v>
      </c>
      <c r="Y14">
        <v>995</v>
      </c>
      <c r="Z14">
        <v>982</v>
      </c>
      <c r="AA14">
        <v>776</v>
      </c>
      <c r="AB14">
        <v>248</v>
      </c>
      <c r="AC14">
        <v>0</v>
      </c>
      <c r="AD14">
        <v>0</v>
      </c>
      <c r="AE14">
        <f t="shared" si="0"/>
        <v>870.35714285714289</v>
      </c>
      <c r="AF14">
        <f t="shared" si="1"/>
        <v>2</v>
      </c>
    </row>
    <row r="15" spans="2:32" x14ac:dyDescent="0.25">
      <c r="B15" s="1" t="s">
        <v>210</v>
      </c>
      <c r="C15">
        <v>2</v>
      </c>
      <c r="D15">
        <v>3</v>
      </c>
      <c r="E15">
        <v>0</v>
      </c>
      <c r="F15">
        <v>3</v>
      </c>
      <c r="G15">
        <v>2</v>
      </c>
      <c r="H15">
        <v>7</v>
      </c>
      <c r="I15">
        <v>1</v>
      </c>
      <c r="J15">
        <v>5</v>
      </c>
      <c r="K15">
        <v>3</v>
      </c>
      <c r="L15">
        <v>3</v>
      </c>
      <c r="M15">
        <v>8</v>
      </c>
      <c r="N15">
        <v>3</v>
      </c>
      <c r="O15">
        <v>0</v>
      </c>
      <c r="P15">
        <v>3</v>
      </c>
      <c r="Q15">
        <v>4</v>
      </c>
      <c r="R15">
        <v>6</v>
      </c>
      <c r="S15">
        <v>4</v>
      </c>
      <c r="T15">
        <v>10</v>
      </c>
      <c r="U15">
        <v>4</v>
      </c>
      <c r="V15">
        <v>4</v>
      </c>
      <c r="W15">
        <v>18</v>
      </c>
      <c r="X15">
        <v>13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f t="shared" si="0"/>
        <v>4.4285714285714288</v>
      </c>
      <c r="AF15">
        <f t="shared" si="1"/>
        <v>2</v>
      </c>
    </row>
    <row r="16" spans="2:32" x14ac:dyDescent="0.25">
      <c r="B16" s="1" t="s">
        <v>52</v>
      </c>
      <c r="C16">
        <v>3</v>
      </c>
      <c r="D16">
        <v>47</v>
      </c>
      <c r="E16">
        <v>57</v>
      </c>
      <c r="F16">
        <v>57</v>
      </c>
      <c r="G16">
        <v>13</v>
      </c>
      <c r="H16">
        <v>1</v>
      </c>
      <c r="I16">
        <v>51</v>
      </c>
      <c r="J16">
        <v>26</v>
      </c>
      <c r="K16">
        <v>33</v>
      </c>
      <c r="L16">
        <v>32</v>
      </c>
      <c r="M16">
        <v>33</v>
      </c>
      <c r="N16">
        <v>20</v>
      </c>
      <c r="O16">
        <v>3</v>
      </c>
      <c r="P16">
        <v>63</v>
      </c>
      <c r="Q16">
        <v>61</v>
      </c>
      <c r="R16">
        <v>58</v>
      </c>
      <c r="S16">
        <v>63</v>
      </c>
      <c r="T16">
        <v>24</v>
      </c>
      <c r="U16">
        <v>23</v>
      </c>
      <c r="V16">
        <v>0</v>
      </c>
      <c r="W16">
        <v>72</v>
      </c>
      <c r="X16">
        <v>49</v>
      </c>
      <c r="Y16">
        <v>55</v>
      </c>
      <c r="Z16">
        <v>31</v>
      </c>
      <c r="AA16">
        <v>1</v>
      </c>
      <c r="AB16">
        <v>0</v>
      </c>
      <c r="AC16">
        <v>0</v>
      </c>
      <c r="AD16">
        <v>1</v>
      </c>
      <c r="AE16">
        <f t="shared" si="0"/>
        <v>31.321428571428573</v>
      </c>
      <c r="AF16">
        <f t="shared" si="1"/>
        <v>3</v>
      </c>
    </row>
    <row r="17" spans="2:32" x14ac:dyDescent="0.25">
      <c r="B17" t="s">
        <v>46</v>
      </c>
      <c r="C17">
        <v>0</v>
      </c>
      <c r="D17">
        <v>41</v>
      </c>
      <c r="E17">
        <v>56</v>
      </c>
      <c r="F17">
        <v>34</v>
      </c>
      <c r="G17">
        <v>9</v>
      </c>
      <c r="H17">
        <v>18</v>
      </c>
      <c r="I17">
        <v>35</v>
      </c>
      <c r="J17">
        <v>52</v>
      </c>
      <c r="K17">
        <v>31</v>
      </c>
      <c r="L17">
        <v>46</v>
      </c>
      <c r="M17">
        <v>64</v>
      </c>
      <c r="N17">
        <v>14</v>
      </c>
      <c r="O17">
        <v>6</v>
      </c>
      <c r="P17">
        <v>66</v>
      </c>
      <c r="Q17">
        <v>52</v>
      </c>
      <c r="R17">
        <v>36</v>
      </c>
      <c r="S17">
        <v>59</v>
      </c>
      <c r="T17">
        <v>44</v>
      </c>
      <c r="U17">
        <v>14</v>
      </c>
      <c r="V17">
        <v>7</v>
      </c>
      <c r="W17">
        <v>75</v>
      </c>
      <c r="X17">
        <v>104</v>
      </c>
      <c r="Y17">
        <v>65</v>
      </c>
      <c r="Z17">
        <v>49</v>
      </c>
      <c r="AA17">
        <v>0</v>
      </c>
      <c r="AB17">
        <v>8</v>
      </c>
      <c r="AC17">
        <v>0</v>
      </c>
      <c r="AD17">
        <v>0</v>
      </c>
      <c r="AE17">
        <f t="shared" si="0"/>
        <v>35.178571428571431</v>
      </c>
      <c r="AF17">
        <f t="shared" si="1"/>
        <v>4</v>
      </c>
    </row>
    <row r="18" spans="2:32" x14ac:dyDescent="0.25">
      <c r="B18" t="s">
        <v>51</v>
      </c>
      <c r="C18">
        <v>0</v>
      </c>
      <c r="D18">
        <v>1</v>
      </c>
      <c r="E18">
        <v>101</v>
      </c>
      <c r="F18">
        <v>2</v>
      </c>
      <c r="G18">
        <v>1</v>
      </c>
      <c r="H18">
        <v>1</v>
      </c>
      <c r="I18">
        <v>0</v>
      </c>
      <c r="J18">
        <v>3</v>
      </c>
      <c r="K18">
        <v>2</v>
      </c>
      <c r="L18">
        <v>2</v>
      </c>
      <c r="M18">
        <v>1</v>
      </c>
      <c r="N18">
        <v>3</v>
      </c>
      <c r="O18">
        <v>2</v>
      </c>
      <c r="P18">
        <v>2</v>
      </c>
      <c r="Q18">
        <v>2</v>
      </c>
      <c r="R18">
        <v>2</v>
      </c>
      <c r="S18">
        <v>386</v>
      </c>
      <c r="T18">
        <v>2</v>
      </c>
      <c r="U18">
        <v>2</v>
      </c>
      <c r="V18">
        <v>130</v>
      </c>
      <c r="W18">
        <v>2</v>
      </c>
      <c r="X18">
        <v>0</v>
      </c>
      <c r="Y18">
        <v>3</v>
      </c>
      <c r="Z18">
        <v>0</v>
      </c>
      <c r="AA18">
        <v>4</v>
      </c>
      <c r="AB18">
        <v>2</v>
      </c>
      <c r="AC18">
        <v>2</v>
      </c>
      <c r="AD18">
        <v>2</v>
      </c>
      <c r="AE18">
        <f t="shared" si="0"/>
        <v>23.571428571428573</v>
      </c>
      <c r="AF18">
        <f t="shared" si="1"/>
        <v>4</v>
      </c>
    </row>
    <row r="19" spans="2:32" x14ac:dyDescent="0.25">
      <c r="B19" t="s">
        <v>163</v>
      </c>
      <c r="C19">
        <v>0</v>
      </c>
      <c r="D19">
        <v>78</v>
      </c>
      <c r="E19">
        <v>80</v>
      </c>
      <c r="F19">
        <v>63</v>
      </c>
      <c r="G19">
        <v>7</v>
      </c>
      <c r="H19">
        <v>6</v>
      </c>
      <c r="I19">
        <v>62</v>
      </c>
      <c r="J19">
        <v>76</v>
      </c>
      <c r="K19">
        <v>88</v>
      </c>
      <c r="L19">
        <v>62</v>
      </c>
      <c r="M19">
        <v>76</v>
      </c>
      <c r="N19">
        <v>4</v>
      </c>
      <c r="O19">
        <v>6</v>
      </c>
      <c r="P19">
        <v>58</v>
      </c>
      <c r="Q19">
        <v>88</v>
      </c>
      <c r="R19">
        <v>89</v>
      </c>
      <c r="S19">
        <v>84</v>
      </c>
      <c r="T19">
        <v>46</v>
      </c>
      <c r="U19">
        <v>3</v>
      </c>
      <c r="V19">
        <v>9</v>
      </c>
      <c r="W19">
        <v>55</v>
      </c>
      <c r="X19">
        <v>34</v>
      </c>
      <c r="Y19">
        <v>38</v>
      </c>
      <c r="Z19">
        <v>35</v>
      </c>
      <c r="AA19">
        <v>4</v>
      </c>
      <c r="AB19">
        <v>0</v>
      </c>
      <c r="AC19">
        <v>0</v>
      </c>
      <c r="AD19">
        <v>0</v>
      </c>
      <c r="AE19">
        <f t="shared" si="0"/>
        <v>41.107142857142854</v>
      </c>
      <c r="AF19">
        <f t="shared" si="1"/>
        <v>4</v>
      </c>
    </row>
    <row r="20" spans="2:32" x14ac:dyDescent="0.25">
      <c r="B20" t="s">
        <v>174</v>
      </c>
      <c r="C20">
        <v>0</v>
      </c>
      <c r="D20">
        <v>59</v>
      </c>
      <c r="E20">
        <v>97</v>
      </c>
      <c r="F20">
        <v>69</v>
      </c>
      <c r="G20">
        <v>19</v>
      </c>
      <c r="H20">
        <v>1</v>
      </c>
      <c r="I20">
        <v>77</v>
      </c>
      <c r="J20">
        <v>72</v>
      </c>
      <c r="K20">
        <v>80</v>
      </c>
      <c r="L20">
        <v>102</v>
      </c>
      <c r="M20">
        <v>65</v>
      </c>
      <c r="N20">
        <v>21</v>
      </c>
      <c r="O20">
        <v>2</v>
      </c>
      <c r="P20">
        <v>120</v>
      </c>
      <c r="Q20">
        <v>88</v>
      </c>
      <c r="R20">
        <v>79</v>
      </c>
      <c r="S20">
        <v>123</v>
      </c>
      <c r="T20">
        <v>63</v>
      </c>
      <c r="U20">
        <v>44</v>
      </c>
      <c r="V20">
        <v>20</v>
      </c>
      <c r="W20">
        <v>99</v>
      </c>
      <c r="X20">
        <v>52</v>
      </c>
      <c r="Y20">
        <v>63</v>
      </c>
      <c r="Z20">
        <v>19</v>
      </c>
      <c r="AA20">
        <v>1</v>
      </c>
      <c r="AB20">
        <v>0</v>
      </c>
      <c r="AC20">
        <v>0</v>
      </c>
      <c r="AD20">
        <v>0</v>
      </c>
      <c r="AE20">
        <f t="shared" si="0"/>
        <v>51.25</v>
      </c>
      <c r="AF20">
        <f t="shared" si="1"/>
        <v>4</v>
      </c>
    </row>
    <row r="21" spans="2:32" x14ac:dyDescent="0.25">
      <c r="B21" t="s">
        <v>195</v>
      </c>
      <c r="C21">
        <v>0</v>
      </c>
      <c r="D21">
        <v>231</v>
      </c>
      <c r="E21">
        <v>210</v>
      </c>
      <c r="F21">
        <v>183</v>
      </c>
      <c r="G21">
        <v>15</v>
      </c>
      <c r="H21">
        <v>10</v>
      </c>
      <c r="I21">
        <v>232</v>
      </c>
      <c r="J21">
        <v>225</v>
      </c>
      <c r="K21">
        <v>384</v>
      </c>
      <c r="L21">
        <v>742</v>
      </c>
      <c r="M21">
        <v>344</v>
      </c>
      <c r="N21">
        <v>60</v>
      </c>
      <c r="O21">
        <v>6</v>
      </c>
      <c r="P21">
        <v>409</v>
      </c>
      <c r="Q21">
        <v>320</v>
      </c>
      <c r="R21">
        <v>206</v>
      </c>
      <c r="S21">
        <v>321</v>
      </c>
      <c r="T21">
        <v>133</v>
      </c>
      <c r="U21">
        <v>34</v>
      </c>
      <c r="V21">
        <v>4</v>
      </c>
      <c r="W21">
        <v>181</v>
      </c>
      <c r="X21">
        <v>121</v>
      </c>
      <c r="Y21">
        <v>96</v>
      </c>
      <c r="Z21">
        <v>76</v>
      </c>
      <c r="AA21">
        <v>8</v>
      </c>
      <c r="AB21">
        <v>0</v>
      </c>
      <c r="AC21">
        <v>0</v>
      </c>
      <c r="AD21">
        <v>0</v>
      </c>
      <c r="AE21">
        <f t="shared" si="0"/>
        <v>162.53571428571428</v>
      </c>
      <c r="AF21">
        <f t="shared" si="1"/>
        <v>4</v>
      </c>
    </row>
    <row r="22" spans="2:32" x14ac:dyDescent="0.25">
      <c r="B22" t="s">
        <v>55</v>
      </c>
      <c r="C22">
        <v>0</v>
      </c>
      <c r="D22">
        <v>243</v>
      </c>
      <c r="E22">
        <v>190</v>
      </c>
      <c r="F22">
        <v>261</v>
      </c>
      <c r="G22">
        <v>59</v>
      </c>
      <c r="H22">
        <v>0</v>
      </c>
      <c r="I22">
        <v>244</v>
      </c>
      <c r="J22">
        <v>207</v>
      </c>
      <c r="K22">
        <v>168</v>
      </c>
      <c r="L22">
        <v>331</v>
      </c>
      <c r="M22">
        <v>270</v>
      </c>
      <c r="N22">
        <v>95</v>
      </c>
      <c r="O22">
        <v>15</v>
      </c>
      <c r="P22">
        <v>351</v>
      </c>
      <c r="Q22">
        <v>16</v>
      </c>
      <c r="R22">
        <v>438</v>
      </c>
      <c r="S22">
        <v>408</v>
      </c>
      <c r="T22">
        <v>166</v>
      </c>
      <c r="U22">
        <v>43</v>
      </c>
      <c r="V22">
        <v>5</v>
      </c>
      <c r="W22">
        <v>297</v>
      </c>
      <c r="X22">
        <v>359</v>
      </c>
      <c r="Y22">
        <v>306</v>
      </c>
      <c r="Z22">
        <v>177</v>
      </c>
      <c r="AA22">
        <v>58</v>
      </c>
      <c r="AB22">
        <v>0</v>
      </c>
      <c r="AC22">
        <v>0</v>
      </c>
      <c r="AD22">
        <v>0</v>
      </c>
      <c r="AE22">
        <f t="shared" si="0"/>
        <v>168.10714285714286</v>
      </c>
      <c r="AF22">
        <f t="shared" si="1"/>
        <v>5</v>
      </c>
    </row>
    <row r="23" spans="2:32" x14ac:dyDescent="0.25">
      <c r="B23" t="s">
        <v>61</v>
      </c>
      <c r="C23">
        <v>0</v>
      </c>
      <c r="D23">
        <v>79</v>
      </c>
      <c r="E23">
        <v>80</v>
      </c>
      <c r="F23">
        <v>7</v>
      </c>
      <c r="G23">
        <v>3</v>
      </c>
      <c r="H23">
        <v>5</v>
      </c>
      <c r="I23">
        <v>15</v>
      </c>
      <c r="J23">
        <v>3</v>
      </c>
      <c r="K23">
        <v>3</v>
      </c>
      <c r="L23">
        <v>21</v>
      </c>
      <c r="M23">
        <v>10</v>
      </c>
      <c r="N23">
        <v>0</v>
      </c>
      <c r="O23">
        <v>13</v>
      </c>
      <c r="P23">
        <v>11</v>
      </c>
      <c r="Q23">
        <v>18</v>
      </c>
      <c r="R23">
        <v>5</v>
      </c>
      <c r="S23">
        <v>39</v>
      </c>
      <c r="T23">
        <v>36</v>
      </c>
      <c r="U23">
        <v>5</v>
      </c>
      <c r="V23">
        <v>6</v>
      </c>
      <c r="W23">
        <v>20</v>
      </c>
      <c r="X23">
        <v>0</v>
      </c>
      <c r="Y23">
        <v>25</v>
      </c>
      <c r="Z23">
        <v>10</v>
      </c>
      <c r="AA23">
        <v>3</v>
      </c>
      <c r="AB23">
        <v>0</v>
      </c>
      <c r="AC23">
        <v>0</v>
      </c>
      <c r="AD23">
        <v>1</v>
      </c>
      <c r="AE23">
        <f t="shared" si="0"/>
        <v>14.928571428571429</v>
      </c>
      <c r="AF23">
        <f t="shared" si="1"/>
        <v>5</v>
      </c>
    </row>
    <row r="24" spans="2:32" x14ac:dyDescent="0.25">
      <c r="B24" t="s">
        <v>190</v>
      </c>
      <c r="C24">
        <v>0</v>
      </c>
      <c r="D24">
        <v>79</v>
      </c>
      <c r="E24">
        <v>65</v>
      </c>
      <c r="F24">
        <v>73</v>
      </c>
      <c r="G24">
        <v>18</v>
      </c>
      <c r="H24">
        <v>7</v>
      </c>
      <c r="I24">
        <v>72</v>
      </c>
      <c r="J24">
        <v>91</v>
      </c>
      <c r="K24">
        <v>95</v>
      </c>
      <c r="L24">
        <v>102</v>
      </c>
      <c r="M24">
        <v>78</v>
      </c>
      <c r="N24">
        <v>27</v>
      </c>
      <c r="O24">
        <v>0</v>
      </c>
      <c r="P24">
        <v>95</v>
      </c>
      <c r="Q24">
        <v>89</v>
      </c>
      <c r="R24">
        <v>82</v>
      </c>
      <c r="S24">
        <v>104</v>
      </c>
      <c r="T24">
        <v>58</v>
      </c>
      <c r="U24">
        <v>45</v>
      </c>
      <c r="V24">
        <v>2</v>
      </c>
      <c r="W24">
        <v>106</v>
      </c>
      <c r="X24">
        <v>95</v>
      </c>
      <c r="Y24">
        <v>79</v>
      </c>
      <c r="Z24">
        <v>102</v>
      </c>
      <c r="AA24">
        <v>17</v>
      </c>
      <c r="AB24">
        <v>0</v>
      </c>
      <c r="AC24">
        <v>0</v>
      </c>
      <c r="AD24">
        <v>0</v>
      </c>
      <c r="AE24">
        <f t="shared" si="0"/>
        <v>56.464285714285715</v>
      </c>
      <c r="AF24">
        <f t="shared" si="1"/>
        <v>5</v>
      </c>
    </row>
    <row r="25" spans="2:32" x14ac:dyDescent="0.25">
      <c r="B25" t="s">
        <v>57</v>
      </c>
      <c r="C25">
        <v>0</v>
      </c>
      <c r="D25">
        <v>0</v>
      </c>
      <c r="E25">
        <v>201</v>
      </c>
      <c r="F25">
        <v>222</v>
      </c>
      <c r="G25">
        <v>19</v>
      </c>
      <c r="H25">
        <v>0</v>
      </c>
      <c r="I25">
        <v>0</v>
      </c>
      <c r="J25">
        <v>0</v>
      </c>
      <c r="K25">
        <v>202</v>
      </c>
      <c r="L25">
        <v>300</v>
      </c>
      <c r="M25">
        <v>317</v>
      </c>
      <c r="N25">
        <v>302</v>
      </c>
      <c r="O25">
        <v>246</v>
      </c>
      <c r="P25">
        <v>331</v>
      </c>
      <c r="Q25">
        <v>324</v>
      </c>
      <c r="R25">
        <v>290</v>
      </c>
      <c r="S25">
        <v>295</v>
      </c>
      <c r="T25">
        <v>313</v>
      </c>
      <c r="U25">
        <v>458</v>
      </c>
      <c r="V25">
        <v>445</v>
      </c>
      <c r="W25">
        <v>289</v>
      </c>
      <c r="X25">
        <v>118</v>
      </c>
      <c r="Y25">
        <v>0</v>
      </c>
      <c r="Z25">
        <v>123</v>
      </c>
      <c r="AA25">
        <v>132</v>
      </c>
      <c r="AB25">
        <v>132</v>
      </c>
      <c r="AC25">
        <v>152</v>
      </c>
      <c r="AD25">
        <v>132</v>
      </c>
      <c r="AE25">
        <f t="shared" si="0"/>
        <v>190.82142857142858</v>
      </c>
      <c r="AF25">
        <f t="shared" si="1"/>
        <v>6</v>
      </c>
    </row>
    <row r="26" spans="2:32" x14ac:dyDescent="0.25">
      <c r="B26" t="s">
        <v>72</v>
      </c>
      <c r="C26">
        <v>0</v>
      </c>
      <c r="D26">
        <v>61</v>
      </c>
      <c r="E26">
        <v>76</v>
      </c>
      <c r="F26">
        <v>46</v>
      </c>
      <c r="G26">
        <v>20</v>
      </c>
      <c r="H26">
        <v>0</v>
      </c>
      <c r="I26">
        <v>35</v>
      </c>
      <c r="J26">
        <v>80</v>
      </c>
      <c r="K26">
        <v>50</v>
      </c>
      <c r="L26">
        <v>51</v>
      </c>
      <c r="M26">
        <v>110</v>
      </c>
      <c r="N26">
        <v>39</v>
      </c>
      <c r="O26">
        <v>0</v>
      </c>
      <c r="P26">
        <v>84</v>
      </c>
      <c r="Q26">
        <v>100</v>
      </c>
      <c r="R26">
        <v>93</v>
      </c>
      <c r="S26">
        <v>103</v>
      </c>
      <c r="T26">
        <v>34</v>
      </c>
      <c r="U26">
        <v>36</v>
      </c>
      <c r="V26">
        <v>13</v>
      </c>
      <c r="W26">
        <v>61</v>
      </c>
      <c r="X26">
        <v>71</v>
      </c>
      <c r="Y26">
        <v>79</v>
      </c>
      <c r="Z26">
        <v>40</v>
      </c>
      <c r="AA26">
        <v>1</v>
      </c>
      <c r="AB26">
        <v>0</v>
      </c>
      <c r="AC26">
        <v>0</v>
      </c>
      <c r="AD26">
        <v>0</v>
      </c>
      <c r="AE26">
        <f t="shared" si="0"/>
        <v>45.821428571428569</v>
      </c>
      <c r="AF26">
        <f t="shared" si="1"/>
        <v>6</v>
      </c>
    </row>
    <row r="27" spans="2:32" x14ac:dyDescent="0.25">
      <c r="B27" t="s">
        <v>73</v>
      </c>
      <c r="C27">
        <v>0</v>
      </c>
      <c r="D27">
        <v>2</v>
      </c>
      <c r="E27">
        <v>9</v>
      </c>
      <c r="F27">
        <v>8</v>
      </c>
      <c r="G27">
        <v>1</v>
      </c>
      <c r="H27">
        <v>1</v>
      </c>
      <c r="I27">
        <v>4</v>
      </c>
      <c r="J27">
        <v>6</v>
      </c>
      <c r="K27">
        <v>7</v>
      </c>
      <c r="L27">
        <v>4</v>
      </c>
      <c r="M27">
        <v>3</v>
      </c>
      <c r="N27">
        <v>1</v>
      </c>
      <c r="O27">
        <v>3</v>
      </c>
      <c r="P27">
        <v>6</v>
      </c>
      <c r="Q27">
        <v>5</v>
      </c>
      <c r="R27">
        <v>1</v>
      </c>
      <c r="S27">
        <v>4</v>
      </c>
      <c r="T27">
        <v>5</v>
      </c>
      <c r="U27">
        <v>0</v>
      </c>
      <c r="V27">
        <v>0</v>
      </c>
      <c r="W27">
        <v>5</v>
      </c>
      <c r="X27">
        <v>3</v>
      </c>
      <c r="Y27">
        <v>6</v>
      </c>
      <c r="Z27">
        <v>13</v>
      </c>
      <c r="AA27">
        <v>1</v>
      </c>
      <c r="AB27">
        <v>0</v>
      </c>
      <c r="AC27">
        <v>0</v>
      </c>
      <c r="AD27">
        <v>0</v>
      </c>
      <c r="AE27">
        <f t="shared" si="0"/>
        <v>3.5</v>
      </c>
      <c r="AF27">
        <f t="shared" si="1"/>
        <v>6</v>
      </c>
    </row>
    <row r="28" spans="2:32" x14ac:dyDescent="0.25">
      <c r="B28" t="s">
        <v>99</v>
      </c>
      <c r="C28">
        <v>0</v>
      </c>
      <c r="D28">
        <v>4</v>
      </c>
      <c r="E28">
        <v>7</v>
      </c>
      <c r="F28">
        <v>2</v>
      </c>
      <c r="G28">
        <v>2</v>
      </c>
      <c r="H28">
        <v>0</v>
      </c>
      <c r="I28">
        <v>1</v>
      </c>
      <c r="J28">
        <v>0</v>
      </c>
      <c r="K28">
        <v>2</v>
      </c>
      <c r="L28">
        <v>2</v>
      </c>
      <c r="M28">
        <v>2</v>
      </c>
      <c r="N28">
        <v>2</v>
      </c>
      <c r="O28">
        <v>3</v>
      </c>
      <c r="P28">
        <v>2</v>
      </c>
      <c r="Q28">
        <v>2</v>
      </c>
      <c r="R28">
        <v>2</v>
      </c>
      <c r="S28">
        <v>2</v>
      </c>
      <c r="T28">
        <v>3</v>
      </c>
      <c r="U28">
        <v>2</v>
      </c>
      <c r="V28">
        <v>2</v>
      </c>
      <c r="W28">
        <v>2</v>
      </c>
      <c r="X28">
        <v>0</v>
      </c>
      <c r="Y28">
        <v>2</v>
      </c>
      <c r="Z28">
        <v>2</v>
      </c>
      <c r="AA28">
        <v>2</v>
      </c>
      <c r="AB28">
        <v>0</v>
      </c>
      <c r="AC28">
        <v>2</v>
      </c>
      <c r="AD28">
        <v>0</v>
      </c>
      <c r="AE28">
        <f t="shared" si="0"/>
        <v>1.8571428571428572</v>
      </c>
      <c r="AF28">
        <f t="shared" si="1"/>
        <v>6</v>
      </c>
    </row>
    <row r="29" spans="2:32" x14ac:dyDescent="0.25">
      <c r="B29" t="s">
        <v>139</v>
      </c>
      <c r="C29">
        <v>0</v>
      </c>
      <c r="D29">
        <v>1</v>
      </c>
      <c r="E29">
        <v>4</v>
      </c>
      <c r="F29">
        <v>0</v>
      </c>
      <c r="G29">
        <v>0</v>
      </c>
      <c r="H29">
        <v>3</v>
      </c>
      <c r="I29">
        <v>0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5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f t="shared" si="0"/>
        <v>1.7857142857142858</v>
      </c>
      <c r="AF29">
        <f t="shared" si="1"/>
        <v>6</v>
      </c>
    </row>
    <row r="30" spans="2:32" x14ac:dyDescent="0.25">
      <c r="B30" t="s">
        <v>182</v>
      </c>
      <c r="C30">
        <v>0</v>
      </c>
      <c r="D30">
        <v>5</v>
      </c>
      <c r="E30">
        <v>1</v>
      </c>
      <c r="F30">
        <v>12</v>
      </c>
      <c r="G30">
        <v>1</v>
      </c>
      <c r="H30">
        <v>3</v>
      </c>
      <c r="I30">
        <v>18</v>
      </c>
      <c r="J30">
        <v>53</v>
      </c>
      <c r="K30">
        <v>22</v>
      </c>
      <c r="L30">
        <v>13</v>
      </c>
      <c r="M30">
        <v>7</v>
      </c>
      <c r="N30">
        <v>3</v>
      </c>
      <c r="O30">
        <v>1</v>
      </c>
      <c r="P30">
        <v>18</v>
      </c>
      <c r="Q30">
        <v>19</v>
      </c>
      <c r="R30">
        <v>17</v>
      </c>
      <c r="S30">
        <v>13</v>
      </c>
      <c r="T30">
        <v>8</v>
      </c>
      <c r="U30">
        <v>0</v>
      </c>
      <c r="V30">
        <v>0</v>
      </c>
      <c r="W30">
        <v>21</v>
      </c>
      <c r="X30">
        <v>51</v>
      </c>
      <c r="Y30">
        <v>8</v>
      </c>
      <c r="Z30">
        <v>7</v>
      </c>
      <c r="AA30">
        <v>3</v>
      </c>
      <c r="AB30">
        <v>0</v>
      </c>
      <c r="AC30">
        <v>0</v>
      </c>
      <c r="AD30">
        <v>0</v>
      </c>
      <c r="AE30">
        <f t="shared" si="0"/>
        <v>10.857142857142858</v>
      </c>
      <c r="AF30">
        <f t="shared" si="1"/>
        <v>6</v>
      </c>
    </row>
    <row r="31" spans="2:32" x14ac:dyDescent="0.25">
      <c r="B31" t="s">
        <v>81</v>
      </c>
      <c r="C31">
        <v>0</v>
      </c>
      <c r="D31">
        <v>27</v>
      </c>
      <c r="E31">
        <v>27</v>
      </c>
      <c r="F31">
        <v>71</v>
      </c>
      <c r="G31">
        <v>5</v>
      </c>
      <c r="H31">
        <v>1</v>
      </c>
      <c r="I31">
        <v>29</v>
      </c>
      <c r="J31">
        <v>49</v>
      </c>
      <c r="K31">
        <v>42</v>
      </c>
      <c r="L31">
        <v>89</v>
      </c>
      <c r="M31">
        <v>44</v>
      </c>
      <c r="N31">
        <v>24</v>
      </c>
      <c r="O31">
        <v>0</v>
      </c>
      <c r="P31">
        <v>84</v>
      </c>
      <c r="Q31">
        <v>94</v>
      </c>
      <c r="R31">
        <v>46</v>
      </c>
      <c r="S31">
        <v>51</v>
      </c>
      <c r="T31">
        <v>15</v>
      </c>
      <c r="U31">
        <v>10</v>
      </c>
      <c r="V31">
        <v>0</v>
      </c>
      <c r="W31">
        <v>26</v>
      </c>
      <c r="X31">
        <v>37</v>
      </c>
      <c r="Y31">
        <v>22</v>
      </c>
      <c r="Z31">
        <v>4</v>
      </c>
      <c r="AA31">
        <v>0</v>
      </c>
      <c r="AB31">
        <v>0</v>
      </c>
      <c r="AC31">
        <v>0</v>
      </c>
      <c r="AD31">
        <v>0</v>
      </c>
      <c r="AE31">
        <f t="shared" si="0"/>
        <v>28.464285714285715</v>
      </c>
      <c r="AF31">
        <f t="shared" si="1"/>
        <v>7</v>
      </c>
    </row>
    <row r="32" spans="2:32" x14ac:dyDescent="0.25">
      <c r="B32" t="s">
        <v>128</v>
      </c>
      <c r="C32">
        <v>0</v>
      </c>
      <c r="D32">
        <v>18</v>
      </c>
      <c r="E32">
        <v>40</v>
      </c>
      <c r="F32">
        <v>33</v>
      </c>
      <c r="G32">
        <v>1</v>
      </c>
      <c r="H32">
        <v>0</v>
      </c>
      <c r="I32">
        <v>11</v>
      </c>
      <c r="J32">
        <v>12</v>
      </c>
      <c r="K32">
        <v>13</v>
      </c>
      <c r="L32">
        <v>48</v>
      </c>
      <c r="M32">
        <v>3</v>
      </c>
      <c r="N32">
        <v>2</v>
      </c>
      <c r="O32">
        <v>0</v>
      </c>
      <c r="P32">
        <v>28</v>
      </c>
      <c r="Q32">
        <v>46</v>
      </c>
      <c r="R32">
        <v>11</v>
      </c>
      <c r="S32">
        <v>26</v>
      </c>
      <c r="T32">
        <v>12</v>
      </c>
      <c r="U32">
        <v>5</v>
      </c>
      <c r="V32">
        <v>1</v>
      </c>
      <c r="W32">
        <v>24</v>
      </c>
      <c r="X32">
        <v>15</v>
      </c>
      <c r="Y32">
        <v>18</v>
      </c>
      <c r="Z32">
        <v>8</v>
      </c>
      <c r="AA32">
        <v>0</v>
      </c>
      <c r="AB32">
        <v>0</v>
      </c>
      <c r="AC32">
        <v>0</v>
      </c>
      <c r="AD32">
        <v>0</v>
      </c>
      <c r="AE32">
        <f t="shared" si="0"/>
        <v>13.392857142857142</v>
      </c>
      <c r="AF32">
        <f t="shared" si="1"/>
        <v>7</v>
      </c>
    </row>
    <row r="33" spans="2:32" x14ac:dyDescent="0.25">
      <c r="B33" t="s">
        <v>192</v>
      </c>
      <c r="C33">
        <v>0</v>
      </c>
      <c r="D33">
        <v>17</v>
      </c>
      <c r="E33">
        <v>21</v>
      </c>
      <c r="F33">
        <v>10</v>
      </c>
      <c r="G33">
        <v>2</v>
      </c>
      <c r="H33">
        <v>0</v>
      </c>
      <c r="I33">
        <v>12</v>
      </c>
      <c r="J33">
        <v>20</v>
      </c>
      <c r="K33">
        <v>11</v>
      </c>
      <c r="L33">
        <v>23</v>
      </c>
      <c r="M33">
        <v>11</v>
      </c>
      <c r="N33">
        <v>4</v>
      </c>
      <c r="O33">
        <v>0</v>
      </c>
      <c r="P33">
        <v>20</v>
      </c>
      <c r="Q33">
        <v>30</v>
      </c>
      <c r="R33">
        <v>17</v>
      </c>
      <c r="S33">
        <v>11</v>
      </c>
      <c r="T33">
        <v>7</v>
      </c>
      <c r="U33">
        <v>6</v>
      </c>
      <c r="V33">
        <v>0</v>
      </c>
      <c r="W33">
        <v>24</v>
      </c>
      <c r="X33">
        <v>7</v>
      </c>
      <c r="Y33">
        <v>17</v>
      </c>
      <c r="Z33">
        <v>3</v>
      </c>
      <c r="AA33">
        <v>1</v>
      </c>
      <c r="AB33">
        <v>0</v>
      </c>
      <c r="AC33">
        <v>0</v>
      </c>
      <c r="AD33">
        <v>0</v>
      </c>
      <c r="AE33">
        <f t="shared" si="0"/>
        <v>9.7857142857142865</v>
      </c>
      <c r="AF33">
        <f t="shared" si="1"/>
        <v>7</v>
      </c>
    </row>
    <row r="34" spans="2:32" x14ac:dyDescent="0.25">
      <c r="B34" t="s">
        <v>222</v>
      </c>
      <c r="C34">
        <v>2</v>
      </c>
      <c r="D34">
        <v>38</v>
      </c>
      <c r="E34">
        <v>10</v>
      </c>
      <c r="F34">
        <v>6</v>
      </c>
      <c r="G34">
        <v>0</v>
      </c>
      <c r="H34">
        <v>1</v>
      </c>
      <c r="I34">
        <v>4</v>
      </c>
      <c r="J34">
        <v>27</v>
      </c>
      <c r="K34">
        <v>5</v>
      </c>
      <c r="L34">
        <v>31</v>
      </c>
      <c r="M34">
        <v>8</v>
      </c>
      <c r="N34">
        <v>0</v>
      </c>
      <c r="O34">
        <v>0</v>
      </c>
      <c r="P34">
        <v>45</v>
      </c>
      <c r="Q34">
        <v>21</v>
      </c>
      <c r="R34">
        <v>1</v>
      </c>
      <c r="S34">
        <v>18</v>
      </c>
      <c r="T34">
        <v>41</v>
      </c>
      <c r="U34">
        <v>0</v>
      </c>
      <c r="V34">
        <v>0</v>
      </c>
      <c r="W34">
        <v>29</v>
      </c>
      <c r="X34">
        <v>45</v>
      </c>
      <c r="Y34">
        <v>34</v>
      </c>
      <c r="Z34">
        <v>3</v>
      </c>
      <c r="AA34">
        <v>0</v>
      </c>
      <c r="AB34">
        <v>7</v>
      </c>
      <c r="AC34">
        <v>0</v>
      </c>
      <c r="AD34">
        <v>1</v>
      </c>
      <c r="AE34">
        <f t="shared" si="0"/>
        <v>13.464285714285714</v>
      </c>
      <c r="AF34">
        <f t="shared" si="1"/>
        <v>7</v>
      </c>
    </row>
    <row r="35" spans="2:32" x14ac:dyDescent="0.25">
      <c r="B35" t="s">
        <v>78</v>
      </c>
      <c r="C35">
        <v>0</v>
      </c>
      <c r="D35">
        <v>21</v>
      </c>
      <c r="E35">
        <v>16</v>
      </c>
      <c r="F35">
        <v>26</v>
      </c>
      <c r="G35">
        <v>2</v>
      </c>
      <c r="H35">
        <v>6</v>
      </c>
      <c r="I35">
        <v>26</v>
      </c>
      <c r="J35">
        <v>40</v>
      </c>
      <c r="K35">
        <v>22</v>
      </c>
      <c r="L35">
        <v>28</v>
      </c>
      <c r="M35">
        <v>26</v>
      </c>
      <c r="N35">
        <v>0</v>
      </c>
      <c r="O35">
        <v>0</v>
      </c>
      <c r="P35">
        <v>31</v>
      </c>
      <c r="Q35">
        <v>58</v>
      </c>
      <c r="R35">
        <v>18</v>
      </c>
      <c r="S35">
        <v>41</v>
      </c>
      <c r="T35">
        <v>15</v>
      </c>
      <c r="U35">
        <v>3</v>
      </c>
      <c r="V35">
        <v>0</v>
      </c>
      <c r="W35">
        <v>51</v>
      </c>
      <c r="X35">
        <v>59</v>
      </c>
      <c r="Y35">
        <v>45</v>
      </c>
      <c r="Z35">
        <v>23</v>
      </c>
      <c r="AA35">
        <v>0</v>
      </c>
      <c r="AB35">
        <v>0</v>
      </c>
      <c r="AC35">
        <v>0</v>
      </c>
      <c r="AD35">
        <v>0</v>
      </c>
      <c r="AE35">
        <f t="shared" ref="AE35:AE66" si="2">AVERAGE(C35:AD35)</f>
        <v>19.892857142857142</v>
      </c>
      <c r="AF35">
        <f t="shared" ref="AF35:AF66" si="3">COUNTIF(C35:AD35,"0")</f>
        <v>8</v>
      </c>
    </row>
    <row r="36" spans="2:32" x14ac:dyDescent="0.25">
      <c r="B36" t="s">
        <v>90</v>
      </c>
      <c r="C36">
        <v>0</v>
      </c>
      <c r="D36">
        <v>23</v>
      </c>
      <c r="E36">
        <v>132</v>
      </c>
      <c r="F36">
        <v>108</v>
      </c>
      <c r="G36">
        <v>9</v>
      </c>
      <c r="H36">
        <v>1</v>
      </c>
      <c r="I36">
        <v>10</v>
      </c>
      <c r="J36">
        <v>47</v>
      </c>
      <c r="K36">
        <v>30</v>
      </c>
      <c r="L36">
        <v>36</v>
      </c>
      <c r="M36">
        <v>15</v>
      </c>
      <c r="N36">
        <v>0</v>
      </c>
      <c r="O36">
        <v>0</v>
      </c>
      <c r="P36">
        <v>63</v>
      </c>
      <c r="Q36">
        <v>10</v>
      </c>
      <c r="R36">
        <v>27</v>
      </c>
      <c r="S36">
        <v>35</v>
      </c>
      <c r="T36">
        <v>26</v>
      </c>
      <c r="U36">
        <v>3</v>
      </c>
      <c r="V36">
        <v>0</v>
      </c>
      <c r="W36">
        <v>24</v>
      </c>
      <c r="X36">
        <v>22</v>
      </c>
      <c r="Y36">
        <v>4</v>
      </c>
      <c r="Z36">
        <v>5</v>
      </c>
      <c r="AA36">
        <v>0</v>
      </c>
      <c r="AB36">
        <v>0</v>
      </c>
      <c r="AC36">
        <v>0</v>
      </c>
      <c r="AD36">
        <v>0</v>
      </c>
      <c r="AE36">
        <f t="shared" si="2"/>
        <v>22.5</v>
      </c>
      <c r="AF36">
        <f t="shared" si="3"/>
        <v>8</v>
      </c>
    </row>
    <row r="37" spans="2:32" x14ac:dyDescent="0.25">
      <c r="B37" t="s">
        <v>136</v>
      </c>
      <c r="C37">
        <v>0</v>
      </c>
      <c r="D37">
        <v>1</v>
      </c>
      <c r="E37">
        <v>2</v>
      </c>
      <c r="F37">
        <v>4</v>
      </c>
      <c r="G37">
        <v>0</v>
      </c>
      <c r="H37">
        <v>0</v>
      </c>
      <c r="I37">
        <v>4</v>
      </c>
      <c r="J37">
        <v>3</v>
      </c>
      <c r="K37">
        <v>1</v>
      </c>
      <c r="L37">
        <v>11</v>
      </c>
      <c r="M37">
        <v>4</v>
      </c>
      <c r="N37">
        <v>3</v>
      </c>
      <c r="O37">
        <v>0</v>
      </c>
      <c r="P37">
        <v>5</v>
      </c>
      <c r="Q37">
        <v>4</v>
      </c>
      <c r="R37">
        <v>1</v>
      </c>
      <c r="S37">
        <v>93</v>
      </c>
      <c r="T37">
        <v>6</v>
      </c>
      <c r="U37">
        <v>0</v>
      </c>
      <c r="V37">
        <v>1</v>
      </c>
      <c r="W37">
        <v>6</v>
      </c>
      <c r="X37">
        <v>58</v>
      </c>
      <c r="Y37">
        <v>8</v>
      </c>
      <c r="Z37">
        <v>13</v>
      </c>
      <c r="AA37">
        <v>0</v>
      </c>
      <c r="AB37">
        <v>0</v>
      </c>
      <c r="AC37">
        <v>0</v>
      </c>
      <c r="AD37">
        <v>1</v>
      </c>
      <c r="AE37">
        <f t="shared" si="2"/>
        <v>8.1785714285714288</v>
      </c>
      <c r="AF37">
        <f t="shared" si="3"/>
        <v>8</v>
      </c>
    </row>
    <row r="38" spans="2:32" x14ac:dyDescent="0.25">
      <c r="B38" t="s">
        <v>164</v>
      </c>
      <c r="C38">
        <v>0</v>
      </c>
      <c r="D38">
        <v>32</v>
      </c>
      <c r="E38">
        <v>20</v>
      </c>
      <c r="F38">
        <v>21</v>
      </c>
      <c r="G38">
        <v>24</v>
      </c>
      <c r="H38">
        <v>0</v>
      </c>
      <c r="I38">
        <v>24</v>
      </c>
      <c r="J38">
        <v>33</v>
      </c>
      <c r="K38">
        <v>14</v>
      </c>
      <c r="L38">
        <v>31</v>
      </c>
      <c r="M38">
        <v>12</v>
      </c>
      <c r="N38">
        <v>15</v>
      </c>
      <c r="O38">
        <v>0</v>
      </c>
      <c r="P38">
        <v>37</v>
      </c>
      <c r="Q38">
        <v>29</v>
      </c>
      <c r="R38">
        <v>23</v>
      </c>
      <c r="S38">
        <v>34</v>
      </c>
      <c r="T38">
        <v>18</v>
      </c>
      <c r="U38">
        <v>17</v>
      </c>
      <c r="V38">
        <v>0</v>
      </c>
      <c r="W38">
        <v>20</v>
      </c>
      <c r="X38">
        <v>24</v>
      </c>
      <c r="Y38">
        <v>11</v>
      </c>
      <c r="Z38">
        <v>20</v>
      </c>
      <c r="AA38">
        <v>0</v>
      </c>
      <c r="AB38">
        <v>0</v>
      </c>
      <c r="AC38">
        <v>0</v>
      </c>
      <c r="AD38">
        <v>0</v>
      </c>
      <c r="AE38">
        <f t="shared" si="2"/>
        <v>16.392857142857142</v>
      </c>
      <c r="AF38">
        <f t="shared" si="3"/>
        <v>8</v>
      </c>
    </row>
    <row r="39" spans="2:32" x14ac:dyDescent="0.25">
      <c r="B39" t="s">
        <v>176</v>
      </c>
      <c r="C39">
        <v>0</v>
      </c>
      <c r="D39">
        <v>33</v>
      </c>
      <c r="E39">
        <v>25</v>
      </c>
      <c r="F39">
        <v>22</v>
      </c>
      <c r="G39">
        <v>7</v>
      </c>
      <c r="H39">
        <v>0</v>
      </c>
      <c r="I39">
        <v>17</v>
      </c>
      <c r="J39">
        <v>31</v>
      </c>
      <c r="K39">
        <v>23</v>
      </c>
      <c r="L39">
        <v>28</v>
      </c>
      <c r="M39">
        <v>15</v>
      </c>
      <c r="N39">
        <v>1</v>
      </c>
      <c r="O39">
        <v>0</v>
      </c>
      <c r="P39">
        <v>27</v>
      </c>
      <c r="Q39">
        <v>26</v>
      </c>
      <c r="R39">
        <v>42</v>
      </c>
      <c r="S39">
        <v>20</v>
      </c>
      <c r="T39">
        <v>44</v>
      </c>
      <c r="U39">
        <v>6</v>
      </c>
      <c r="V39">
        <v>0</v>
      </c>
      <c r="W39">
        <v>29</v>
      </c>
      <c r="X39">
        <v>25</v>
      </c>
      <c r="Y39">
        <v>13</v>
      </c>
      <c r="Z39">
        <v>7</v>
      </c>
      <c r="AA39">
        <v>0</v>
      </c>
      <c r="AB39">
        <v>0</v>
      </c>
      <c r="AC39">
        <v>0</v>
      </c>
      <c r="AD39">
        <v>0</v>
      </c>
      <c r="AE39">
        <f t="shared" si="2"/>
        <v>15.75</v>
      </c>
      <c r="AF39">
        <f t="shared" si="3"/>
        <v>8</v>
      </c>
    </row>
    <row r="40" spans="2:32" x14ac:dyDescent="0.25">
      <c r="B40" t="s">
        <v>188</v>
      </c>
      <c r="C40">
        <v>0</v>
      </c>
      <c r="D40">
        <v>11</v>
      </c>
      <c r="E40">
        <v>5</v>
      </c>
      <c r="F40">
        <v>12</v>
      </c>
      <c r="G40">
        <v>0</v>
      </c>
      <c r="H40">
        <v>4</v>
      </c>
      <c r="I40">
        <v>16</v>
      </c>
      <c r="J40">
        <v>17</v>
      </c>
      <c r="K40">
        <v>12</v>
      </c>
      <c r="L40">
        <v>21</v>
      </c>
      <c r="M40">
        <v>13</v>
      </c>
      <c r="N40">
        <v>1</v>
      </c>
      <c r="O40">
        <v>0</v>
      </c>
      <c r="P40">
        <v>24</v>
      </c>
      <c r="Q40">
        <v>13</v>
      </c>
      <c r="R40">
        <v>41</v>
      </c>
      <c r="S40">
        <v>11</v>
      </c>
      <c r="T40">
        <v>14</v>
      </c>
      <c r="U40">
        <v>1</v>
      </c>
      <c r="V40">
        <v>0</v>
      </c>
      <c r="W40">
        <v>30</v>
      </c>
      <c r="X40">
        <v>11</v>
      </c>
      <c r="Y40">
        <v>11</v>
      </c>
      <c r="Z40">
        <v>5</v>
      </c>
      <c r="AA40">
        <v>0</v>
      </c>
      <c r="AB40">
        <v>0</v>
      </c>
      <c r="AC40">
        <v>0</v>
      </c>
      <c r="AD40">
        <v>0</v>
      </c>
      <c r="AE40">
        <f t="shared" si="2"/>
        <v>9.75</v>
      </c>
      <c r="AF40">
        <f t="shared" si="3"/>
        <v>8</v>
      </c>
    </row>
    <row r="41" spans="2:32" x14ac:dyDescent="0.25">
      <c r="B41" t="s">
        <v>89</v>
      </c>
      <c r="C41">
        <v>0</v>
      </c>
      <c r="D41">
        <v>15</v>
      </c>
      <c r="E41">
        <v>14</v>
      </c>
      <c r="F41">
        <v>8</v>
      </c>
      <c r="G41">
        <v>15</v>
      </c>
      <c r="H41">
        <v>0</v>
      </c>
      <c r="I41">
        <v>28</v>
      </c>
      <c r="J41">
        <v>16</v>
      </c>
      <c r="K41">
        <v>24</v>
      </c>
      <c r="L41">
        <v>25</v>
      </c>
      <c r="M41">
        <v>28</v>
      </c>
      <c r="N41">
        <v>0</v>
      </c>
      <c r="O41">
        <v>0</v>
      </c>
      <c r="P41">
        <v>42</v>
      </c>
      <c r="Q41">
        <v>30</v>
      </c>
      <c r="R41">
        <v>46</v>
      </c>
      <c r="S41">
        <v>52</v>
      </c>
      <c r="T41">
        <v>17</v>
      </c>
      <c r="U41">
        <v>2</v>
      </c>
      <c r="V41">
        <v>0</v>
      </c>
      <c r="W41">
        <v>14</v>
      </c>
      <c r="X41">
        <v>17</v>
      </c>
      <c r="Y41">
        <v>16</v>
      </c>
      <c r="Z41">
        <v>15</v>
      </c>
      <c r="AA41">
        <v>0</v>
      </c>
      <c r="AB41">
        <v>0</v>
      </c>
      <c r="AC41">
        <v>0</v>
      </c>
      <c r="AD41">
        <v>0</v>
      </c>
      <c r="AE41">
        <f t="shared" si="2"/>
        <v>15.142857142857142</v>
      </c>
      <c r="AF41">
        <f t="shared" si="3"/>
        <v>9</v>
      </c>
    </row>
    <row r="42" spans="2:32" x14ac:dyDescent="0.25">
      <c r="B42" t="s">
        <v>109</v>
      </c>
      <c r="C42">
        <v>0</v>
      </c>
      <c r="D42">
        <v>4</v>
      </c>
      <c r="E42">
        <v>8</v>
      </c>
      <c r="F42">
        <v>5</v>
      </c>
      <c r="G42">
        <v>1</v>
      </c>
      <c r="H42">
        <v>0</v>
      </c>
      <c r="I42">
        <v>5</v>
      </c>
      <c r="J42">
        <v>2</v>
      </c>
      <c r="K42">
        <v>4</v>
      </c>
      <c r="L42">
        <v>2</v>
      </c>
      <c r="M42">
        <v>1</v>
      </c>
      <c r="N42">
        <v>0</v>
      </c>
      <c r="O42">
        <v>0</v>
      </c>
      <c r="P42">
        <v>16</v>
      </c>
      <c r="Q42">
        <v>5</v>
      </c>
      <c r="R42">
        <v>3</v>
      </c>
      <c r="S42">
        <v>15</v>
      </c>
      <c r="T42">
        <v>10</v>
      </c>
      <c r="U42">
        <v>4</v>
      </c>
      <c r="V42">
        <v>0</v>
      </c>
      <c r="W42">
        <v>19</v>
      </c>
      <c r="X42">
        <v>8</v>
      </c>
      <c r="Y42">
        <v>17</v>
      </c>
      <c r="Z42">
        <v>7</v>
      </c>
      <c r="AA42">
        <v>0</v>
      </c>
      <c r="AB42">
        <v>0</v>
      </c>
      <c r="AC42">
        <v>0</v>
      </c>
      <c r="AD42">
        <v>0</v>
      </c>
      <c r="AE42">
        <f t="shared" si="2"/>
        <v>4.8571428571428568</v>
      </c>
      <c r="AF42">
        <f t="shared" si="3"/>
        <v>9</v>
      </c>
    </row>
    <row r="43" spans="2:32" x14ac:dyDescent="0.25">
      <c r="B43" t="s">
        <v>167</v>
      </c>
      <c r="C43">
        <v>0</v>
      </c>
      <c r="D43">
        <v>14</v>
      </c>
      <c r="E43">
        <v>14</v>
      </c>
      <c r="F43">
        <v>4</v>
      </c>
      <c r="G43">
        <v>0</v>
      </c>
      <c r="H43">
        <v>0</v>
      </c>
      <c r="I43">
        <v>7</v>
      </c>
      <c r="J43">
        <v>8</v>
      </c>
      <c r="K43">
        <v>4</v>
      </c>
      <c r="L43">
        <v>2</v>
      </c>
      <c r="M43">
        <v>10</v>
      </c>
      <c r="N43">
        <v>0</v>
      </c>
      <c r="O43">
        <v>0</v>
      </c>
      <c r="P43">
        <v>9</v>
      </c>
      <c r="Q43">
        <v>13</v>
      </c>
      <c r="R43">
        <v>6</v>
      </c>
      <c r="S43">
        <v>3</v>
      </c>
      <c r="T43">
        <v>5</v>
      </c>
      <c r="U43">
        <v>9</v>
      </c>
      <c r="V43">
        <v>0</v>
      </c>
      <c r="W43">
        <v>14</v>
      </c>
      <c r="X43">
        <v>7</v>
      </c>
      <c r="Y43">
        <v>1</v>
      </c>
      <c r="Z43">
        <v>3</v>
      </c>
      <c r="AA43">
        <v>3</v>
      </c>
      <c r="AB43">
        <v>0</v>
      </c>
      <c r="AC43">
        <v>0</v>
      </c>
      <c r="AD43">
        <v>0</v>
      </c>
      <c r="AE43">
        <f t="shared" si="2"/>
        <v>4.8571428571428568</v>
      </c>
      <c r="AF43">
        <f t="shared" si="3"/>
        <v>9</v>
      </c>
    </row>
    <row r="44" spans="2:32" x14ac:dyDescent="0.25">
      <c r="B44" t="s">
        <v>179</v>
      </c>
      <c r="C44">
        <v>0</v>
      </c>
      <c r="D44">
        <v>0</v>
      </c>
      <c r="E44">
        <v>0</v>
      </c>
      <c r="F44">
        <v>15</v>
      </c>
      <c r="G44">
        <v>9</v>
      </c>
      <c r="H44">
        <v>2</v>
      </c>
      <c r="I44">
        <v>135</v>
      </c>
      <c r="J44">
        <v>79</v>
      </c>
      <c r="K44">
        <v>60</v>
      </c>
      <c r="L44">
        <v>89</v>
      </c>
      <c r="M44">
        <v>78</v>
      </c>
      <c r="N44">
        <v>2</v>
      </c>
      <c r="O44">
        <v>0</v>
      </c>
      <c r="P44">
        <v>64</v>
      </c>
      <c r="Q44">
        <v>47</v>
      </c>
      <c r="R44">
        <v>41</v>
      </c>
      <c r="S44">
        <v>91</v>
      </c>
      <c r="T44">
        <v>29</v>
      </c>
      <c r="U44">
        <v>6</v>
      </c>
      <c r="V44">
        <v>0</v>
      </c>
      <c r="W44">
        <v>51</v>
      </c>
      <c r="X44">
        <v>64</v>
      </c>
      <c r="Y44">
        <v>58</v>
      </c>
      <c r="Z44">
        <v>27</v>
      </c>
      <c r="AA44">
        <v>0</v>
      </c>
      <c r="AB44">
        <v>0</v>
      </c>
      <c r="AC44">
        <v>0</v>
      </c>
      <c r="AD44">
        <v>0</v>
      </c>
      <c r="AE44">
        <f t="shared" si="2"/>
        <v>33.821428571428569</v>
      </c>
      <c r="AF44">
        <f t="shared" si="3"/>
        <v>9</v>
      </c>
    </row>
    <row r="45" spans="2:32" x14ac:dyDescent="0.25">
      <c r="B45" t="s">
        <v>70</v>
      </c>
      <c r="C45">
        <v>0</v>
      </c>
      <c r="D45">
        <v>27</v>
      </c>
      <c r="E45">
        <v>26</v>
      </c>
      <c r="F45">
        <v>50</v>
      </c>
      <c r="G45">
        <v>7</v>
      </c>
      <c r="H45">
        <v>0</v>
      </c>
      <c r="I45">
        <v>0</v>
      </c>
      <c r="J45">
        <v>0</v>
      </c>
      <c r="K45">
        <v>0</v>
      </c>
      <c r="L45">
        <v>36</v>
      </c>
      <c r="M45">
        <v>91</v>
      </c>
      <c r="N45">
        <v>6</v>
      </c>
      <c r="O45">
        <v>5</v>
      </c>
      <c r="P45">
        <v>97</v>
      </c>
      <c r="Q45">
        <v>52</v>
      </c>
      <c r="R45">
        <v>54</v>
      </c>
      <c r="S45">
        <v>82</v>
      </c>
      <c r="T45">
        <v>46</v>
      </c>
      <c r="U45">
        <v>8</v>
      </c>
      <c r="V45">
        <v>0</v>
      </c>
      <c r="W45">
        <v>33</v>
      </c>
      <c r="X45">
        <v>72</v>
      </c>
      <c r="Y45">
        <v>51</v>
      </c>
      <c r="Z45">
        <v>31</v>
      </c>
      <c r="AA45">
        <v>0</v>
      </c>
      <c r="AB45">
        <v>0</v>
      </c>
      <c r="AC45">
        <v>0</v>
      </c>
      <c r="AD45">
        <v>0</v>
      </c>
      <c r="AE45">
        <f t="shared" si="2"/>
        <v>27.642857142857142</v>
      </c>
      <c r="AF45">
        <f t="shared" si="3"/>
        <v>10</v>
      </c>
    </row>
    <row r="46" spans="2:32" x14ac:dyDescent="0.25">
      <c r="B46" t="s">
        <v>106</v>
      </c>
      <c r="C46">
        <v>0</v>
      </c>
      <c r="D46">
        <v>15</v>
      </c>
      <c r="E46">
        <v>13</v>
      </c>
      <c r="F46">
        <v>20</v>
      </c>
      <c r="G46">
        <v>1</v>
      </c>
      <c r="H46">
        <v>0</v>
      </c>
      <c r="I46">
        <v>36</v>
      </c>
      <c r="J46">
        <v>17</v>
      </c>
      <c r="K46">
        <v>18</v>
      </c>
      <c r="L46">
        <v>24</v>
      </c>
      <c r="M46">
        <v>21</v>
      </c>
      <c r="N46">
        <v>1</v>
      </c>
      <c r="O46">
        <v>0</v>
      </c>
      <c r="P46">
        <v>18</v>
      </c>
      <c r="Q46">
        <v>30</v>
      </c>
      <c r="R46">
        <v>27</v>
      </c>
      <c r="S46">
        <v>32</v>
      </c>
      <c r="T46">
        <v>9</v>
      </c>
      <c r="U46">
        <v>0</v>
      </c>
      <c r="V46">
        <v>0</v>
      </c>
      <c r="W46">
        <v>17</v>
      </c>
      <c r="X46">
        <v>3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f t="shared" si="2"/>
        <v>10.857142857142858</v>
      </c>
      <c r="AF46">
        <f t="shared" si="3"/>
        <v>10</v>
      </c>
    </row>
    <row r="47" spans="2:32" x14ac:dyDescent="0.25">
      <c r="B47" t="s">
        <v>122</v>
      </c>
      <c r="C47">
        <v>0</v>
      </c>
      <c r="D47">
        <v>26</v>
      </c>
      <c r="E47">
        <v>12</v>
      </c>
      <c r="F47">
        <v>3</v>
      </c>
      <c r="G47">
        <v>0</v>
      </c>
      <c r="H47">
        <v>0</v>
      </c>
      <c r="I47">
        <v>7</v>
      </c>
      <c r="J47">
        <v>14</v>
      </c>
      <c r="K47">
        <v>7</v>
      </c>
      <c r="L47">
        <v>11</v>
      </c>
      <c r="M47">
        <v>6</v>
      </c>
      <c r="N47">
        <v>0</v>
      </c>
      <c r="O47">
        <v>0</v>
      </c>
      <c r="P47">
        <v>10</v>
      </c>
      <c r="Q47">
        <v>13</v>
      </c>
      <c r="R47">
        <v>14</v>
      </c>
      <c r="S47">
        <v>12</v>
      </c>
      <c r="T47">
        <v>32</v>
      </c>
      <c r="U47">
        <v>1</v>
      </c>
      <c r="V47">
        <v>0</v>
      </c>
      <c r="W47">
        <v>28</v>
      </c>
      <c r="X47">
        <v>3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f t="shared" si="2"/>
        <v>7.1428571428571432</v>
      </c>
      <c r="AF47">
        <f t="shared" si="3"/>
        <v>11</v>
      </c>
    </row>
    <row r="48" spans="2:32" x14ac:dyDescent="0.25">
      <c r="B48" t="s">
        <v>172</v>
      </c>
      <c r="C48">
        <v>0</v>
      </c>
      <c r="D48">
        <v>11</v>
      </c>
      <c r="E48">
        <v>24</v>
      </c>
      <c r="F48">
        <v>37</v>
      </c>
      <c r="G48">
        <v>0</v>
      </c>
      <c r="H48">
        <v>0</v>
      </c>
      <c r="I48">
        <v>25</v>
      </c>
      <c r="J48">
        <v>9</v>
      </c>
      <c r="K48">
        <v>2</v>
      </c>
      <c r="L48">
        <v>0</v>
      </c>
      <c r="M48">
        <v>51</v>
      </c>
      <c r="N48">
        <v>1</v>
      </c>
      <c r="O48">
        <v>0</v>
      </c>
      <c r="P48">
        <v>49</v>
      </c>
      <c r="Q48">
        <v>19</v>
      </c>
      <c r="R48">
        <v>20</v>
      </c>
      <c r="S48">
        <v>12</v>
      </c>
      <c r="T48">
        <v>32</v>
      </c>
      <c r="U48">
        <v>0</v>
      </c>
      <c r="V48">
        <v>0</v>
      </c>
      <c r="W48">
        <v>12</v>
      </c>
      <c r="X48">
        <v>6</v>
      </c>
      <c r="Y48">
        <v>10</v>
      </c>
      <c r="Z48">
        <v>4</v>
      </c>
      <c r="AA48">
        <v>0</v>
      </c>
      <c r="AB48">
        <v>0</v>
      </c>
      <c r="AC48">
        <v>0</v>
      </c>
      <c r="AD48">
        <v>0</v>
      </c>
      <c r="AE48">
        <f t="shared" si="2"/>
        <v>11.571428571428571</v>
      </c>
      <c r="AF48">
        <f t="shared" si="3"/>
        <v>11</v>
      </c>
    </row>
    <row r="49" spans="2:32" x14ac:dyDescent="0.25">
      <c r="B49" t="s">
        <v>189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2</v>
      </c>
      <c r="T49">
        <v>1</v>
      </c>
      <c r="U49">
        <v>0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2</v>
      </c>
      <c r="AD49">
        <v>1</v>
      </c>
      <c r="AE49">
        <f t="shared" si="2"/>
        <v>0.6785714285714286</v>
      </c>
      <c r="AF49">
        <f t="shared" si="3"/>
        <v>11</v>
      </c>
    </row>
    <row r="50" spans="2:32" x14ac:dyDescent="0.25">
      <c r="B50" t="s">
        <v>138</v>
      </c>
      <c r="C50">
        <v>0</v>
      </c>
      <c r="D50">
        <v>4</v>
      </c>
      <c r="E50">
        <v>2</v>
      </c>
      <c r="F50">
        <v>2</v>
      </c>
      <c r="G50">
        <v>0</v>
      </c>
      <c r="H50">
        <v>0</v>
      </c>
      <c r="I50">
        <v>3</v>
      </c>
      <c r="J50">
        <v>5</v>
      </c>
      <c r="K50">
        <v>4</v>
      </c>
      <c r="L50">
        <v>7</v>
      </c>
      <c r="M50">
        <v>5</v>
      </c>
      <c r="N50">
        <v>0</v>
      </c>
      <c r="O50">
        <v>0</v>
      </c>
      <c r="P50">
        <v>0</v>
      </c>
      <c r="Q50">
        <v>4</v>
      </c>
      <c r="R50">
        <v>1</v>
      </c>
      <c r="S50">
        <v>12</v>
      </c>
      <c r="T50">
        <v>9</v>
      </c>
      <c r="U50">
        <v>1</v>
      </c>
      <c r="V50">
        <v>0</v>
      </c>
      <c r="W50">
        <v>6</v>
      </c>
      <c r="X50">
        <v>7</v>
      </c>
      <c r="Y50">
        <v>5</v>
      </c>
      <c r="Z50">
        <v>0</v>
      </c>
      <c r="AA50">
        <v>0</v>
      </c>
      <c r="AB50">
        <v>0</v>
      </c>
      <c r="AC50">
        <v>0</v>
      </c>
      <c r="AD50">
        <v>0</v>
      </c>
      <c r="AE50">
        <f t="shared" si="2"/>
        <v>2.75</v>
      </c>
      <c r="AF50">
        <f t="shared" si="3"/>
        <v>12</v>
      </c>
    </row>
    <row r="51" spans="2:32" x14ac:dyDescent="0.25">
      <c r="B51" t="s">
        <v>76</v>
      </c>
      <c r="C51">
        <v>0</v>
      </c>
      <c r="D51">
        <v>2</v>
      </c>
      <c r="E51">
        <v>9</v>
      </c>
      <c r="F51">
        <v>0</v>
      </c>
      <c r="G51">
        <v>0</v>
      </c>
      <c r="H51">
        <v>0</v>
      </c>
      <c r="I51">
        <v>4</v>
      </c>
      <c r="J51">
        <v>0</v>
      </c>
      <c r="K51">
        <v>3</v>
      </c>
      <c r="L51">
        <v>2</v>
      </c>
      <c r="M51">
        <v>1</v>
      </c>
      <c r="N51">
        <v>0</v>
      </c>
      <c r="O51">
        <v>0</v>
      </c>
      <c r="P51">
        <v>2</v>
      </c>
      <c r="Q51">
        <v>1</v>
      </c>
      <c r="R51">
        <v>10</v>
      </c>
      <c r="S51">
        <v>10</v>
      </c>
      <c r="T51">
        <v>3</v>
      </c>
      <c r="U51">
        <v>0</v>
      </c>
      <c r="V51">
        <v>0</v>
      </c>
      <c r="W51">
        <v>15</v>
      </c>
      <c r="X51">
        <v>6</v>
      </c>
      <c r="Y51">
        <v>7</v>
      </c>
      <c r="Z51">
        <v>0</v>
      </c>
      <c r="AA51">
        <v>0</v>
      </c>
      <c r="AB51">
        <v>0</v>
      </c>
      <c r="AC51">
        <v>0</v>
      </c>
      <c r="AD51">
        <v>0</v>
      </c>
      <c r="AE51">
        <f t="shared" si="2"/>
        <v>2.6785714285714284</v>
      </c>
      <c r="AF51">
        <f t="shared" si="3"/>
        <v>14</v>
      </c>
    </row>
    <row r="52" spans="2:32" x14ac:dyDescent="0.25">
      <c r="B52" t="s">
        <v>77</v>
      </c>
      <c r="C52">
        <v>0</v>
      </c>
      <c r="D52">
        <v>9</v>
      </c>
      <c r="E52">
        <v>9</v>
      </c>
      <c r="F52">
        <v>9</v>
      </c>
      <c r="G52">
        <v>0</v>
      </c>
      <c r="H52">
        <v>0</v>
      </c>
      <c r="I52">
        <v>6</v>
      </c>
      <c r="J52">
        <v>7</v>
      </c>
      <c r="K52">
        <v>3</v>
      </c>
      <c r="L52">
        <v>3</v>
      </c>
      <c r="M52">
        <v>1</v>
      </c>
      <c r="N52">
        <v>0</v>
      </c>
      <c r="O52">
        <v>0</v>
      </c>
      <c r="P52">
        <v>3</v>
      </c>
      <c r="Q52">
        <v>5</v>
      </c>
      <c r="R52">
        <v>2</v>
      </c>
      <c r="S52">
        <v>10</v>
      </c>
      <c r="T52">
        <v>1</v>
      </c>
      <c r="U52">
        <v>0</v>
      </c>
      <c r="V52">
        <v>0</v>
      </c>
      <c r="W52">
        <v>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f t="shared" si="2"/>
        <v>2.75</v>
      </c>
      <c r="AF52">
        <f t="shared" si="3"/>
        <v>14</v>
      </c>
    </row>
    <row r="53" spans="2:32" x14ac:dyDescent="0.25">
      <c r="B53" t="s">
        <v>131</v>
      </c>
      <c r="C53">
        <v>0</v>
      </c>
      <c r="D53">
        <v>8</v>
      </c>
      <c r="E53">
        <v>1</v>
      </c>
      <c r="F53">
        <v>3</v>
      </c>
      <c r="G53">
        <v>0</v>
      </c>
      <c r="H53">
        <v>0</v>
      </c>
      <c r="I53">
        <v>2</v>
      </c>
      <c r="J53">
        <v>17</v>
      </c>
      <c r="K53">
        <v>3</v>
      </c>
      <c r="L53">
        <v>7</v>
      </c>
      <c r="M53">
        <v>3</v>
      </c>
      <c r="N53">
        <v>0</v>
      </c>
      <c r="O53">
        <v>0</v>
      </c>
      <c r="P53">
        <v>5</v>
      </c>
      <c r="Q53">
        <v>4</v>
      </c>
      <c r="R53">
        <v>1</v>
      </c>
      <c r="S53">
        <v>0</v>
      </c>
      <c r="T53">
        <v>0</v>
      </c>
      <c r="U53">
        <v>0</v>
      </c>
      <c r="V53">
        <v>0</v>
      </c>
      <c r="W53">
        <v>2</v>
      </c>
      <c r="X53">
        <v>4</v>
      </c>
      <c r="Y53">
        <v>0</v>
      </c>
      <c r="Z53">
        <v>3</v>
      </c>
      <c r="AA53">
        <v>0</v>
      </c>
      <c r="AB53">
        <v>0</v>
      </c>
      <c r="AC53">
        <v>0</v>
      </c>
      <c r="AD53">
        <v>0</v>
      </c>
      <c r="AE53">
        <f t="shared" si="2"/>
        <v>2.25</v>
      </c>
      <c r="AF53">
        <f t="shared" si="3"/>
        <v>14</v>
      </c>
    </row>
    <row r="54" spans="2:32" x14ac:dyDescent="0.25">
      <c r="B54" t="s">
        <v>170</v>
      </c>
      <c r="C54">
        <v>0</v>
      </c>
      <c r="D54">
        <v>2</v>
      </c>
      <c r="E54">
        <v>5</v>
      </c>
      <c r="F54">
        <v>5</v>
      </c>
      <c r="G54">
        <v>0</v>
      </c>
      <c r="H54">
        <v>0</v>
      </c>
      <c r="I54">
        <v>2</v>
      </c>
      <c r="J54">
        <v>5</v>
      </c>
      <c r="K54">
        <v>4</v>
      </c>
      <c r="L54">
        <v>0</v>
      </c>
      <c r="M54">
        <v>7</v>
      </c>
      <c r="N54">
        <v>0</v>
      </c>
      <c r="O54">
        <v>0</v>
      </c>
      <c r="P54">
        <v>2</v>
      </c>
      <c r="Q54">
        <v>5</v>
      </c>
      <c r="R54">
        <v>3</v>
      </c>
      <c r="S54">
        <v>9</v>
      </c>
      <c r="T54">
        <v>2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f t="shared" si="2"/>
        <v>1.8571428571428572</v>
      </c>
      <c r="AF54">
        <f t="shared" si="3"/>
        <v>15</v>
      </c>
    </row>
    <row r="55" spans="2:32" x14ac:dyDescent="0.25">
      <c r="B55" t="s">
        <v>211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1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f t="shared" si="2"/>
        <v>0.5</v>
      </c>
      <c r="AF55">
        <f t="shared" si="3"/>
        <v>15</v>
      </c>
    </row>
    <row r="56" spans="2:32" x14ac:dyDescent="0.25">
      <c r="B56" t="s">
        <v>116</v>
      </c>
      <c r="C56">
        <v>1</v>
      </c>
      <c r="D56">
        <v>0</v>
      </c>
      <c r="E56">
        <v>1</v>
      </c>
      <c r="F56">
        <v>0</v>
      </c>
      <c r="G56">
        <v>0</v>
      </c>
      <c r="H56">
        <v>1</v>
      </c>
      <c r="I56">
        <v>1</v>
      </c>
      <c r="J56">
        <v>0</v>
      </c>
      <c r="K56">
        <v>1</v>
      </c>
      <c r="L56">
        <v>2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f t="shared" si="2"/>
        <v>0.4642857142857143</v>
      </c>
      <c r="AF56">
        <f t="shared" si="3"/>
        <v>16</v>
      </c>
    </row>
    <row r="57" spans="2:32" x14ac:dyDescent="0.25">
      <c r="B57" t="s">
        <v>140</v>
      </c>
      <c r="C57">
        <v>0</v>
      </c>
      <c r="D57">
        <v>0</v>
      </c>
      <c r="E57">
        <v>12</v>
      </c>
      <c r="F57">
        <v>17</v>
      </c>
      <c r="G57">
        <v>0</v>
      </c>
      <c r="H57">
        <v>0</v>
      </c>
      <c r="I57">
        <v>1</v>
      </c>
      <c r="J57">
        <v>15</v>
      </c>
      <c r="K57">
        <v>2</v>
      </c>
      <c r="L57">
        <v>1</v>
      </c>
      <c r="M57">
        <v>43</v>
      </c>
      <c r="N57">
        <v>1</v>
      </c>
      <c r="O57">
        <v>0</v>
      </c>
      <c r="P57">
        <v>18</v>
      </c>
      <c r="Q57">
        <v>20</v>
      </c>
      <c r="R57">
        <v>1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f t="shared" si="2"/>
        <v>4.75</v>
      </c>
      <c r="AF57">
        <f t="shared" si="3"/>
        <v>16</v>
      </c>
    </row>
    <row r="58" spans="2:32" x14ac:dyDescent="0.25">
      <c r="B58" t="s">
        <v>144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2</v>
      </c>
      <c r="O58">
        <v>1</v>
      </c>
      <c r="P58">
        <v>3</v>
      </c>
      <c r="Q58">
        <v>0</v>
      </c>
      <c r="R58">
        <v>6</v>
      </c>
      <c r="S58">
        <v>6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1</v>
      </c>
      <c r="AE58">
        <f t="shared" si="2"/>
        <v>0.8571428571428571</v>
      </c>
      <c r="AF58">
        <f t="shared" si="3"/>
        <v>18</v>
      </c>
    </row>
    <row r="59" spans="2:32" x14ac:dyDescent="0.25">
      <c r="B59" t="s">
        <v>220</v>
      </c>
      <c r="C59">
        <v>0</v>
      </c>
      <c r="D59">
        <v>114</v>
      </c>
      <c r="E59">
        <v>120</v>
      </c>
      <c r="F59">
        <v>0</v>
      </c>
      <c r="G59">
        <v>0</v>
      </c>
      <c r="H59">
        <v>0</v>
      </c>
      <c r="I59">
        <v>208</v>
      </c>
      <c r="J59">
        <v>312</v>
      </c>
      <c r="K59">
        <v>0</v>
      </c>
      <c r="L59">
        <v>0</v>
      </c>
      <c r="M59">
        <v>0</v>
      </c>
      <c r="N59">
        <v>0</v>
      </c>
      <c r="O59">
        <v>0</v>
      </c>
      <c r="P59">
        <v>409</v>
      </c>
      <c r="Q59">
        <v>73</v>
      </c>
      <c r="R59">
        <v>375</v>
      </c>
      <c r="S59">
        <v>1565</v>
      </c>
      <c r="T59">
        <v>146</v>
      </c>
      <c r="U59">
        <v>0</v>
      </c>
      <c r="V59">
        <v>0</v>
      </c>
      <c r="W59">
        <v>0</v>
      </c>
      <c r="X59">
        <v>146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f t="shared" si="2"/>
        <v>123.85714285714286</v>
      </c>
      <c r="AF59">
        <f t="shared" si="3"/>
        <v>18</v>
      </c>
    </row>
    <row r="60" spans="2:32" x14ac:dyDescent="0.25">
      <c r="B60" t="s">
        <v>86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4</v>
      </c>
      <c r="N60">
        <v>0</v>
      </c>
      <c r="O60">
        <v>0</v>
      </c>
      <c r="P60">
        <v>0</v>
      </c>
      <c r="Q60">
        <v>0</v>
      </c>
      <c r="R60">
        <v>2</v>
      </c>
      <c r="S60">
        <v>5</v>
      </c>
      <c r="T60">
        <v>2</v>
      </c>
      <c r="U60">
        <v>0</v>
      </c>
      <c r="V60">
        <v>0</v>
      </c>
      <c r="W60">
        <v>0</v>
      </c>
      <c r="X60">
        <v>0</v>
      </c>
      <c r="Y60">
        <v>4</v>
      </c>
      <c r="Z60">
        <v>1</v>
      </c>
      <c r="AA60">
        <v>0</v>
      </c>
      <c r="AB60">
        <v>0</v>
      </c>
      <c r="AC60">
        <v>0</v>
      </c>
      <c r="AD60">
        <v>0</v>
      </c>
      <c r="AE60">
        <f t="shared" si="2"/>
        <v>0.75</v>
      </c>
      <c r="AF60">
        <f t="shared" si="3"/>
        <v>19</v>
      </c>
    </row>
    <row r="61" spans="2:32" x14ac:dyDescent="0.25">
      <c r="B61" t="s">
        <v>60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  <c r="K61">
        <v>4</v>
      </c>
      <c r="L61">
        <v>2</v>
      </c>
      <c r="M61">
        <v>0</v>
      </c>
      <c r="N61">
        <v>0</v>
      </c>
      <c r="O61">
        <v>0</v>
      </c>
      <c r="P61">
        <v>11</v>
      </c>
      <c r="Q61">
        <v>0</v>
      </c>
      <c r="R61">
        <v>2</v>
      </c>
      <c r="S61">
        <v>27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f t="shared" si="2"/>
        <v>1.8214285714285714</v>
      </c>
      <c r="AF61">
        <f t="shared" si="3"/>
        <v>20</v>
      </c>
    </row>
    <row r="62" spans="2:32" x14ac:dyDescent="0.25">
      <c r="B62" t="s">
        <v>96</v>
      </c>
      <c r="C62">
        <v>0</v>
      </c>
      <c r="D62">
        <v>0</v>
      </c>
      <c r="E62">
        <v>2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2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f t="shared" si="2"/>
        <v>0.39285714285714285</v>
      </c>
      <c r="AF62">
        <f t="shared" si="3"/>
        <v>20</v>
      </c>
    </row>
    <row r="63" spans="2:32" x14ac:dyDescent="0.25">
      <c r="B63" t="s">
        <v>197</v>
      </c>
      <c r="C63">
        <v>0</v>
      </c>
      <c r="D63">
        <v>0</v>
      </c>
      <c r="E63">
        <v>2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f t="shared" si="2"/>
        <v>0.32142857142857145</v>
      </c>
      <c r="AF63">
        <f t="shared" si="3"/>
        <v>20</v>
      </c>
    </row>
    <row r="64" spans="2:32" x14ac:dyDescent="0.25">
      <c r="B64" t="s">
        <v>133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64</v>
      </c>
      <c r="S64">
        <v>45</v>
      </c>
      <c r="T64">
        <v>12</v>
      </c>
      <c r="U64">
        <v>0</v>
      </c>
      <c r="V64">
        <v>0</v>
      </c>
      <c r="W64">
        <v>2</v>
      </c>
      <c r="X64">
        <v>0</v>
      </c>
      <c r="Y64">
        <v>3</v>
      </c>
      <c r="Z64">
        <v>6</v>
      </c>
      <c r="AA64">
        <v>0</v>
      </c>
      <c r="AB64">
        <v>0</v>
      </c>
      <c r="AC64">
        <v>0</v>
      </c>
      <c r="AD64">
        <v>0</v>
      </c>
      <c r="AE64">
        <f t="shared" si="2"/>
        <v>4.7857142857142856</v>
      </c>
      <c r="AF64">
        <f t="shared" si="3"/>
        <v>21</v>
      </c>
    </row>
    <row r="65" spans="2:32" x14ac:dyDescent="0.25">
      <c r="B65" t="s">
        <v>193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2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f t="shared" si="2"/>
        <v>0.2857142857142857</v>
      </c>
      <c r="AF65">
        <f t="shared" si="3"/>
        <v>21</v>
      </c>
    </row>
    <row r="66" spans="2:32" x14ac:dyDescent="0.25">
      <c r="B66" t="s">
        <v>31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52</v>
      </c>
      <c r="N66">
        <v>0</v>
      </c>
      <c r="O66">
        <v>0</v>
      </c>
      <c r="P66">
        <v>0</v>
      </c>
      <c r="Q66">
        <v>97</v>
      </c>
      <c r="R66">
        <v>5</v>
      </c>
      <c r="S66">
        <v>0</v>
      </c>
      <c r="T66">
        <v>0</v>
      </c>
      <c r="U66">
        <v>0</v>
      </c>
      <c r="V66">
        <v>0</v>
      </c>
      <c r="W66">
        <v>2</v>
      </c>
      <c r="X66">
        <v>38</v>
      </c>
      <c r="Y66">
        <v>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f t="shared" si="2"/>
        <v>8.1785714285714288</v>
      </c>
      <c r="AF66">
        <f t="shared" si="3"/>
        <v>22</v>
      </c>
    </row>
    <row r="67" spans="2:32" x14ac:dyDescent="0.25">
      <c r="B67" t="s">
        <v>34</v>
      </c>
      <c r="C67">
        <v>0</v>
      </c>
      <c r="D67">
        <v>1</v>
      </c>
      <c r="E67">
        <v>0</v>
      </c>
      <c r="F67">
        <v>0</v>
      </c>
      <c r="G67">
        <v>0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f t="shared" ref="AE67:AE98" si="4">AVERAGE(C67:AD67)</f>
        <v>0.25</v>
      </c>
      <c r="AF67">
        <f t="shared" ref="AF67:AF98" si="5">COUNTIF(C67:AD67,"0")</f>
        <v>22</v>
      </c>
    </row>
    <row r="68" spans="2:32" x14ac:dyDescent="0.25">
      <c r="B68" t="s">
        <v>126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f t="shared" si="4"/>
        <v>0.21428571428571427</v>
      </c>
      <c r="AF68">
        <f t="shared" si="5"/>
        <v>22</v>
      </c>
    </row>
    <row r="69" spans="2:32" x14ac:dyDescent="0.25">
      <c r="B69" t="s">
        <v>149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f t="shared" si="4"/>
        <v>0.21428571428571427</v>
      </c>
      <c r="AF69">
        <f t="shared" si="5"/>
        <v>22</v>
      </c>
    </row>
    <row r="70" spans="2:32" x14ac:dyDescent="0.25">
      <c r="B70" t="s">
        <v>158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f t="shared" si="4"/>
        <v>1.6071428571428572</v>
      </c>
      <c r="AF70">
        <f t="shared" si="5"/>
        <v>22</v>
      </c>
    </row>
    <row r="71" spans="2:32" x14ac:dyDescent="0.25">
      <c r="B71" t="s">
        <v>204</v>
      </c>
      <c r="C71">
        <v>0</v>
      </c>
      <c r="D71">
        <v>2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f t="shared" si="4"/>
        <v>0.32142857142857145</v>
      </c>
      <c r="AF71">
        <f t="shared" si="5"/>
        <v>22</v>
      </c>
    </row>
    <row r="72" spans="2:32" x14ac:dyDescent="0.25">
      <c r="B72" t="s">
        <v>205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4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2</v>
      </c>
      <c r="AD72">
        <v>0</v>
      </c>
      <c r="AE72">
        <f t="shared" si="4"/>
        <v>0.42857142857142855</v>
      </c>
      <c r="AF72">
        <f t="shared" si="5"/>
        <v>22</v>
      </c>
    </row>
    <row r="73" spans="2:32" x14ac:dyDescent="0.25">
      <c r="B73" t="s">
        <v>63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2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f t="shared" si="4"/>
        <v>0.21428571428571427</v>
      </c>
      <c r="AF73">
        <f t="shared" si="5"/>
        <v>23</v>
      </c>
    </row>
    <row r="74" spans="2:32" x14ac:dyDescent="0.25">
      <c r="B74" t="s">
        <v>65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f t="shared" si="4"/>
        <v>0.2857142857142857</v>
      </c>
      <c r="AF74">
        <f t="shared" si="5"/>
        <v>23</v>
      </c>
    </row>
    <row r="75" spans="2:32" x14ac:dyDescent="0.25">
      <c r="B75" t="s">
        <v>80</v>
      </c>
      <c r="C75">
        <v>0</v>
      </c>
      <c r="D75">
        <v>0</v>
      </c>
      <c r="E75">
        <v>1</v>
      </c>
      <c r="F75">
        <v>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f t="shared" si="4"/>
        <v>0.5714285714285714</v>
      </c>
      <c r="AF75">
        <f t="shared" si="5"/>
        <v>23</v>
      </c>
    </row>
    <row r="76" spans="2:32" x14ac:dyDescent="0.25">
      <c r="B76" t="s">
        <v>84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f t="shared" si="4"/>
        <v>0.25</v>
      </c>
      <c r="AF76">
        <f t="shared" si="5"/>
        <v>23</v>
      </c>
    </row>
    <row r="77" spans="2:32" x14ac:dyDescent="0.25">
      <c r="B77" t="s">
        <v>117</v>
      </c>
      <c r="C77">
        <v>0</v>
      </c>
      <c r="D77">
        <v>0</v>
      </c>
      <c r="E77">
        <v>1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</v>
      </c>
      <c r="T77">
        <v>2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f t="shared" si="4"/>
        <v>0.39285714285714285</v>
      </c>
      <c r="AF77">
        <f t="shared" si="5"/>
        <v>23</v>
      </c>
    </row>
    <row r="78" spans="2:32" x14ac:dyDescent="0.25">
      <c r="B78" t="s">
        <v>120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f t="shared" si="4"/>
        <v>0.17857142857142858</v>
      </c>
      <c r="AF78">
        <f t="shared" si="5"/>
        <v>23</v>
      </c>
    </row>
    <row r="79" spans="2:32" x14ac:dyDescent="0.25">
      <c r="B79" t="s">
        <v>153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f t="shared" si="4"/>
        <v>0.17857142857142858</v>
      </c>
      <c r="AF79">
        <f t="shared" si="5"/>
        <v>23</v>
      </c>
    </row>
    <row r="80" spans="2:32" x14ac:dyDescent="0.25">
      <c r="B80" t="s">
        <v>183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</v>
      </c>
      <c r="V80">
        <v>0</v>
      </c>
      <c r="W80">
        <v>17</v>
      </c>
      <c r="X80">
        <v>16</v>
      </c>
      <c r="Y80">
        <v>13</v>
      </c>
      <c r="Z80">
        <v>12</v>
      </c>
      <c r="AA80">
        <v>0</v>
      </c>
      <c r="AB80">
        <v>0</v>
      </c>
      <c r="AC80">
        <v>0</v>
      </c>
      <c r="AD80">
        <v>0</v>
      </c>
      <c r="AE80">
        <f t="shared" si="4"/>
        <v>2.2857142857142856</v>
      </c>
      <c r="AF80">
        <f t="shared" si="5"/>
        <v>23</v>
      </c>
    </row>
    <row r="81" spans="2:32" x14ac:dyDescent="0.25">
      <c r="B81" t="s">
        <v>62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f t="shared" si="4"/>
        <v>0.14285714285714285</v>
      </c>
      <c r="AF81">
        <f t="shared" si="5"/>
        <v>24</v>
      </c>
    </row>
    <row r="82" spans="2:32" x14ac:dyDescent="0.25">
      <c r="B82" t="s">
        <v>85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f t="shared" si="4"/>
        <v>0.14285714285714285</v>
      </c>
      <c r="AF82">
        <f t="shared" si="5"/>
        <v>24</v>
      </c>
    </row>
    <row r="83" spans="2:32" x14ac:dyDescent="0.25">
      <c r="B83" t="s">
        <v>178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f t="shared" si="4"/>
        <v>0.2857142857142857</v>
      </c>
      <c r="AF83">
        <f t="shared" si="5"/>
        <v>24</v>
      </c>
    </row>
    <row r="84" spans="2:32" x14ac:dyDescent="0.25">
      <c r="B84" t="s">
        <v>181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16</v>
      </c>
      <c r="S84">
        <v>0</v>
      </c>
      <c r="T84">
        <v>0</v>
      </c>
      <c r="U84">
        <v>0</v>
      </c>
      <c r="V84">
        <v>0</v>
      </c>
      <c r="W84">
        <v>6</v>
      </c>
      <c r="X84">
        <v>5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f t="shared" si="4"/>
        <v>1</v>
      </c>
      <c r="AF84">
        <f t="shared" si="5"/>
        <v>24</v>
      </c>
    </row>
    <row r="85" spans="2:32" x14ac:dyDescent="0.25">
      <c r="B85" t="s">
        <v>198</v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f t="shared" si="4"/>
        <v>0.21428571428571427</v>
      </c>
      <c r="AF85">
        <f t="shared" si="5"/>
        <v>24</v>
      </c>
    </row>
    <row r="86" spans="2:32" x14ac:dyDescent="0.25">
      <c r="B86" t="s">
        <v>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0</v>
      </c>
      <c r="Y86">
        <v>17</v>
      </c>
      <c r="Z86">
        <v>2</v>
      </c>
      <c r="AA86">
        <v>0</v>
      </c>
      <c r="AB86">
        <v>0</v>
      </c>
      <c r="AC86">
        <v>0</v>
      </c>
      <c r="AD86">
        <v>0</v>
      </c>
      <c r="AE86">
        <f t="shared" si="4"/>
        <v>0.75</v>
      </c>
      <c r="AF86">
        <f t="shared" si="5"/>
        <v>25</v>
      </c>
    </row>
    <row r="87" spans="2:32" x14ac:dyDescent="0.25">
      <c r="B87" t="s">
        <v>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0</v>
      </c>
      <c r="O87">
        <v>1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f t="shared" si="4"/>
        <v>0.17857142857142858</v>
      </c>
      <c r="AF87">
        <f t="shared" si="5"/>
        <v>25</v>
      </c>
    </row>
    <row r="88" spans="2:32" x14ac:dyDescent="0.25">
      <c r="B88" t="s">
        <v>127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f t="shared" si="4"/>
        <v>0.14285714285714285</v>
      </c>
      <c r="AF88">
        <f t="shared" si="5"/>
        <v>25</v>
      </c>
    </row>
    <row r="89" spans="2:32" x14ac:dyDescent="0.25">
      <c r="B89" t="s">
        <v>184</v>
      </c>
      <c r="C89">
        <v>0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f t="shared" si="4"/>
        <v>0.10714285714285714</v>
      </c>
      <c r="AF89">
        <f t="shared" si="5"/>
        <v>25</v>
      </c>
    </row>
    <row r="90" spans="2:32" x14ac:dyDescent="0.25">
      <c r="B90" t="s">
        <v>217</v>
      </c>
      <c r="C90">
        <v>0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f t="shared" si="4"/>
        <v>0.17857142857142858</v>
      </c>
      <c r="AF90">
        <f t="shared" si="5"/>
        <v>25</v>
      </c>
    </row>
    <row r="91" spans="2:32" x14ac:dyDescent="0.25">
      <c r="B91" t="s">
        <v>36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f t="shared" si="4"/>
        <v>7.1428571428571425E-2</v>
      </c>
      <c r="AF91">
        <f t="shared" si="5"/>
        <v>26</v>
      </c>
    </row>
    <row r="92" spans="2:32" x14ac:dyDescent="0.25">
      <c r="B92" t="s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f t="shared" si="4"/>
        <v>0.10714285714285714</v>
      </c>
      <c r="AF92">
        <f t="shared" si="5"/>
        <v>26</v>
      </c>
    </row>
    <row r="93" spans="2:32" x14ac:dyDescent="0.25">
      <c r="B93" t="s">
        <v>67</v>
      </c>
      <c r="C93">
        <v>0</v>
      </c>
      <c r="D93">
        <v>0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f t="shared" si="4"/>
        <v>0.5</v>
      </c>
      <c r="AF93">
        <f t="shared" si="5"/>
        <v>26</v>
      </c>
    </row>
    <row r="94" spans="2:32" x14ac:dyDescent="0.25">
      <c r="B94" t="s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13</v>
      </c>
      <c r="Q94">
        <v>0</v>
      </c>
      <c r="R94">
        <v>17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f t="shared" si="4"/>
        <v>1.0714285714285714</v>
      </c>
      <c r="AF94">
        <f t="shared" si="5"/>
        <v>26</v>
      </c>
    </row>
    <row r="95" spans="2:32" x14ac:dyDescent="0.25">
      <c r="B95" t="s">
        <v>94</v>
      </c>
      <c r="C95">
        <v>0</v>
      </c>
      <c r="D95">
        <v>0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f t="shared" si="4"/>
        <v>0.21428571428571427</v>
      </c>
      <c r="AF95">
        <f t="shared" si="5"/>
        <v>26</v>
      </c>
    </row>
    <row r="96" spans="2:32" x14ac:dyDescent="0.25">
      <c r="B96" t="s">
        <v>132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f t="shared" si="4"/>
        <v>0.4642857142857143</v>
      </c>
      <c r="AF96">
        <f t="shared" si="5"/>
        <v>26</v>
      </c>
    </row>
    <row r="97" spans="2:32" x14ac:dyDescent="0.25">
      <c r="B97" t="s">
        <v>135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f t="shared" si="4"/>
        <v>7.1428571428571425E-2</v>
      </c>
      <c r="AF97">
        <f t="shared" si="5"/>
        <v>26</v>
      </c>
    </row>
    <row r="98" spans="2:32" x14ac:dyDescent="0.25">
      <c r="B98" t="s">
        <v>145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f t="shared" si="4"/>
        <v>0.10714285714285714</v>
      </c>
      <c r="AF98">
        <f t="shared" si="5"/>
        <v>26</v>
      </c>
    </row>
    <row r="99" spans="2:32" x14ac:dyDescent="0.25">
      <c r="B99" t="s">
        <v>160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f t="shared" ref="AE99:AE130" si="6">AVERAGE(C99:AD99)</f>
        <v>0.10714285714285714</v>
      </c>
      <c r="AF99">
        <f t="shared" ref="AF99:AF130" si="7">COUNTIF(C99:AD99,"0")</f>
        <v>26</v>
      </c>
    </row>
    <row r="100" spans="2:32" x14ac:dyDescent="0.25">
      <c r="B100" t="s">
        <v>186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f t="shared" si="6"/>
        <v>0.10714285714285714</v>
      </c>
      <c r="AF100">
        <f t="shared" si="7"/>
        <v>26</v>
      </c>
    </row>
    <row r="101" spans="2:32" x14ac:dyDescent="0.25">
      <c r="B101" t="s">
        <v>196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f t="shared" si="6"/>
        <v>7.1428571428571425E-2</v>
      </c>
      <c r="AF101">
        <f t="shared" si="7"/>
        <v>26</v>
      </c>
    </row>
    <row r="102" spans="2:32" x14ac:dyDescent="0.25">
      <c r="B102" t="s">
        <v>213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f t="shared" si="6"/>
        <v>0.10714285714285714</v>
      </c>
      <c r="AF102">
        <f t="shared" si="7"/>
        <v>26</v>
      </c>
    </row>
    <row r="103" spans="2:32" x14ac:dyDescent="0.25">
      <c r="B103" t="s">
        <v>219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f t="shared" si="6"/>
        <v>7.1428571428571425E-2</v>
      </c>
      <c r="AF103">
        <f t="shared" si="7"/>
        <v>26</v>
      </c>
    </row>
    <row r="104" spans="2:32" x14ac:dyDescent="0.25">
      <c r="B104" t="s">
        <v>54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f t="shared" si="6"/>
        <v>0.10714285714285714</v>
      </c>
      <c r="AF104">
        <f t="shared" si="7"/>
        <v>27</v>
      </c>
    </row>
    <row r="105" spans="2:32" x14ac:dyDescent="0.25">
      <c r="B105" t="s">
        <v>93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f t="shared" si="6"/>
        <v>3.5714285714285712E-2</v>
      </c>
      <c r="AF105">
        <f t="shared" si="7"/>
        <v>27</v>
      </c>
    </row>
    <row r="106" spans="2:32" x14ac:dyDescent="0.25">
      <c r="B106" t="s">
        <v>95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f t="shared" si="6"/>
        <v>3.5714285714285712E-2</v>
      </c>
      <c r="AF106">
        <f t="shared" si="7"/>
        <v>27</v>
      </c>
    </row>
    <row r="107" spans="2:32" x14ac:dyDescent="0.25">
      <c r="B107" t="s">
        <v>101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f t="shared" si="6"/>
        <v>3.5714285714285712E-2</v>
      </c>
      <c r="AF107">
        <f t="shared" si="7"/>
        <v>27</v>
      </c>
    </row>
    <row r="108" spans="2:32" x14ac:dyDescent="0.25">
      <c r="B108" t="s">
        <v>142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f t="shared" si="6"/>
        <v>3.5714285714285712E-2</v>
      </c>
      <c r="AF108">
        <f t="shared" si="7"/>
        <v>27</v>
      </c>
    </row>
    <row r="109" spans="2:32" x14ac:dyDescent="0.25">
      <c r="B109" t="s">
        <v>148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f t="shared" si="6"/>
        <v>3.5714285714285712E-2</v>
      </c>
      <c r="AF109">
        <f t="shared" si="7"/>
        <v>27</v>
      </c>
    </row>
    <row r="110" spans="2:32" x14ac:dyDescent="0.25">
      <c r="B110" t="s">
        <v>165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f t="shared" si="6"/>
        <v>3.5714285714285712E-2</v>
      </c>
      <c r="AF110">
        <f t="shared" si="7"/>
        <v>27</v>
      </c>
    </row>
    <row r="111" spans="2:32" x14ac:dyDescent="0.25">
      <c r="B111" t="s">
        <v>168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f t="shared" si="6"/>
        <v>3.5714285714285712E-2</v>
      </c>
      <c r="AF111">
        <f t="shared" si="7"/>
        <v>27</v>
      </c>
    </row>
    <row r="112" spans="2:32" x14ac:dyDescent="0.25">
      <c r="B112" t="s">
        <v>175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f t="shared" si="6"/>
        <v>3.5714285714285712E-2</v>
      </c>
      <c r="AF112">
        <f t="shared" si="7"/>
        <v>27</v>
      </c>
    </row>
    <row r="113" spans="2:32" x14ac:dyDescent="0.25">
      <c r="B113" t="s">
        <v>185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f t="shared" si="6"/>
        <v>3.5714285714285712E-2</v>
      </c>
      <c r="AF113">
        <f t="shared" si="7"/>
        <v>27</v>
      </c>
    </row>
    <row r="114" spans="2:32" x14ac:dyDescent="0.25">
      <c r="B114" t="s">
        <v>201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f t="shared" si="6"/>
        <v>3.5714285714285712E-2</v>
      </c>
      <c r="AF114">
        <f t="shared" si="7"/>
        <v>27</v>
      </c>
    </row>
    <row r="115" spans="2:32" x14ac:dyDescent="0.25">
      <c r="B115" t="s">
        <v>212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f t="shared" si="6"/>
        <v>3.5714285714285712E-2</v>
      </c>
      <c r="AF115">
        <f t="shared" si="7"/>
        <v>27</v>
      </c>
    </row>
    <row r="116" spans="2:32" x14ac:dyDescent="0.25">
      <c r="B116" t="s">
        <v>37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f t="shared" si="6"/>
        <v>0</v>
      </c>
      <c r="AF116">
        <f t="shared" si="7"/>
        <v>28</v>
      </c>
    </row>
    <row r="117" spans="2:32" x14ac:dyDescent="0.25">
      <c r="B117" t="s">
        <v>38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f t="shared" si="6"/>
        <v>0</v>
      </c>
      <c r="AF117">
        <f t="shared" si="7"/>
        <v>28</v>
      </c>
    </row>
    <row r="118" spans="2:32" x14ac:dyDescent="0.25">
      <c r="B118" t="s">
        <v>39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f t="shared" si="6"/>
        <v>0</v>
      </c>
      <c r="AF118">
        <f t="shared" si="7"/>
        <v>28</v>
      </c>
    </row>
    <row r="119" spans="2:32" x14ac:dyDescent="0.25">
      <c r="B119" t="s">
        <v>40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f t="shared" si="6"/>
        <v>0</v>
      </c>
      <c r="AF119">
        <f t="shared" si="7"/>
        <v>28</v>
      </c>
    </row>
    <row r="120" spans="2:32" x14ac:dyDescent="0.25">
      <c r="B120" t="s">
        <v>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f t="shared" si="6"/>
        <v>0</v>
      </c>
      <c r="AF120">
        <f t="shared" si="7"/>
        <v>28</v>
      </c>
    </row>
    <row r="121" spans="2:32" x14ac:dyDescent="0.25">
      <c r="B121" t="s">
        <v>42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f t="shared" si="6"/>
        <v>0</v>
      </c>
      <c r="AF121">
        <f t="shared" si="7"/>
        <v>28</v>
      </c>
    </row>
    <row r="122" spans="2:32" x14ac:dyDescent="0.25">
      <c r="B122" t="s">
        <v>43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f t="shared" si="6"/>
        <v>0</v>
      </c>
      <c r="AF122">
        <f t="shared" si="7"/>
        <v>28</v>
      </c>
    </row>
    <row r="123" spans="2:32" x14ac:dyDescent="0.25">
      <c r="B123" t="s">
        <v>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f t="shared" si="6"/>
        <v>0</v>
      </c>
      <c r="AF123">
        <f t="shared" si="7"/>
        <v>28</v>
      </c>
    </row>
    <row r="124" spans="2:32" x14ac:dyDescent="0.25">
      <c r="B124" t="s">
        <v>47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f t="shared" si="6"/>
        <v>0</v>
      </c>
      <c r="AF124">
        <f t="shared" si="7"/>
        <v>28</v>
      </c>
    </row>
    <row r="125" spans="2:32" x14ac:dyDescent="0.25">
      <c r="B125" t="s">
        <v>48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f t="shared" si="6"/>
        <v>0</v>
      </c>
      <c r="AF125">
        <f t="shared" si="7"/>
        <v>28</v>
      </c>
    </row>
    <row r="126" spans="2:32" x14ac:dyDescent="0.25">
      <c r="B126" t="s">
        <v>50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f t="shared" si="6"/>
        <v>0</v>
      </c>
      <c r="AF126">
        <f t="shared" si="7"/>
        <v>28</v>
      </c>
    </row>
    <row r="127" spans="2:32" x14ac:dyDescent="0.25">
      <c r="B127" t="s">
        <v>53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f t="shared" si="6"/>
        <v>0</v>
      </c>
      <c r="AF127">
        <f t="shared" si="7"/>
        <v>28</v>
      </c>
    </row>
    <row r="128" spans="2:32" x14ac:dyDescent="0.25">
      <c r="B128" t="s">
        <v>56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f t="shared" si="6"/>
        <v>0</v>
      </c>
      <c r="AF128">
        <f t="shared" si="7"/>
        <v>28</v>
      </c>
    </row>
    <row r="129" spans="2:32" x14ac:dyDescent="0.25">
      <c r="B129" t="s">
        <v>58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f t="shared" si="6"/>
        <v>0</v>
      </c>
      <c r="AF129">
        <f t="shared" si="7"/>
        <v>28</v>
      </c>
    </row>
    <row r="130" spans="2:32" x14ac:dyDescent="0.25">
      <c r="B130" t="s">
        <v>59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f t="shared" si="6"/>
        <v>0</v>
      </c>
      <c r="AF130">
        <f t="shared" si="7"/>
        <v>28</v>
      </c>
    </row>
    <row r="131" spans="2:32" x14ac:dyDescent="0.25">
      <c r="B131" t="s">
        <v>64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f t="shared" ref="AE131:AE162" si="8">AVERAGE(C131:AD131)</f>
        <v>0</v>
      </c>
      <c r="AF131">
        <f t="shared" ref="AF131:AF162" si="9">COUNTIF(C131:AD131,"0")</f>
        <v>28</v>
      </c>
    </row>
    <row r="132" spans="2:32" x14ac:dyDescent="0.25"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f t="shared" si="8"/>
        <v>0</v>
      </c>
      <c r="AF132">
        <f t="shared" si="9"/>
        <v>28</v>
      </c>
    </row>
    <row r="133" spans="2:32" x14ac:dyDescent="0.25"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f t="shared" si="8"/>
        <v>0</v>
      </c>
      <c r="AF133">
        <f t="shared" si="9"/>
        <v>28</v>
      </c>
    </row>
    <row r="134" spans="2:32" x14ac:dyDescent="0.25">
      <c r="B134" t="s">
        <v>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f t="shared" si="8"/>
        <v>0</v>
      </c>
      <c r="AF134">
        <f t="shared" si="9"/>
        <v>28</v>
      </c>
    </row>
    <row r="135" spans="2:32" x14ac:dyDescent="0.25">
      <c r="B135" t="s">
        <v>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f t="shared" si="8"/>
        <v>0</v>
      </c>
      <c r="AF135">
        <f t="shared" si="9"/>
        <v>28</v>
      </c>
    </row>
    <row r="136" spans="2:32" x14ac:dyDescent="0.25">
      <c r="B136" t="s">
        <v>79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f t="shared" si="8"/>
        <v>0</v>
      </c>
      <c r="AF136">
        <f t="shared" si="9"/>
        <v>28</v>
      </c>
    </row>
    <row r="137" spans="2:32" x14ac:dyDescent="0.25">
      <c r="B137" t="s">
        <v>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f t="shared" si="8"/>
        <v>0</v>
      </c>
      <c r="AF137">
        <f t="shared" si="9"/>
        <v>28</v>
      </c>
    </row>
    <row r="138" spans="2:32" x14ac:dyDescent="0.25">
      <c r="B138" t="s">
        <v>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f t="shared" si="8"/>
        <v>0</v>
      </c>
      <c r="AF138">
        <f t="shared" si="9"/>
        <v>28</v>
      </c>
    </row>
    <row r="139" spans="2:32" x14ac:dyDescent="0.25">
      <c r="B139" t="s">
        <v>87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f t="shared" si="8"/>
        <v>0</v>
      </c>
      <c r="AF139">
        <f t="shared" si="9"/>
        <v>28</v>
      </c>
    </row>
    <row r="140" spans="2:32" x14ac:dyDescent="0.25">
      <c r="B140" t="s">
        <v>88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f t="shared" si="8"/>
        <v>0</v>
      </c>
      <c r="AF140">
        <f t="shared" si="9"/>
        <v>28</v>
      </c>
    </row>
    <row r="141" spans="2:32" x14ac:dyDescent="0.25">
      <c r="B141" t="s">
        <v>91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f t="shared" si="8"/>
        <v>0</v>
      </c>
      <c r="AF141">
        <f t="shared" si="9"/>
        <v>28</v>
      </c>
    </row>
    <row r="142" spans="2:32" x14ac:dyDescent="0.25">
      <c r="B142" t="s">
        <v>92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f t="shared" si="8"/>
        <v>0</v>
      </c>
      <c r="AF142">
        <f t="shared" si="9"/>
        <v>28</v>
      </c>
    </row>
    <row r="143" spans="2:32" x14ac:dyDescent="0.25">
      <c r="B143" t="s">
        <v>97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f t="shared" si="8"/>
        <v>0</v>
      </c>
      <c r="AF143">
        <f t="shared" si="9"/>
        <v>28</v>
      </c>
    </row>
    <row r="144" spans="2:32" x14ac:dyDescent="0.25">
      <c r="B144" t="s">
        <v>100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f t="shared" si="8"/>
        <v>0</v>
      </c>
      <c r="AF144">
        <f t="shared" si="9"/>
        <v>28</v>
      </c>
    </row>
    <row r="145" spans="2:32" x14ac:dyDescent="0.25">
      <c r="B145" t="s">
        <v>102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f t="shared" si="8"/>
        <v>0</v>
      </c>
      <c r="AF145">
        <f t="shared" si="9"/>
        <v>28</v>
      </c>
    </row>
    <row r="146" spans="2:32" x14ac:dyDescent="0.25">
      <c r="B146" t="s">
        <v>103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f t="shared" si="8"/>
        <v>0</v>
      </c>
      <c r="AF146">
        <f t="shared" si="9"/>
        <v>28</v>
      </c>
    </row>
    <row r="147" spans="2:32" x14ac:dyDescent="0.25">
      <c r="B147" t="s">
        <v>104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f t="shared" si="8"/>
        <v>0</v>
      </c>
      <c r="AF147">
        <f t="shared" si="9"/>
        <v>28</v>
      </c>
    </row>
    <row r="148" spans="2:32" x14ac:dyDescent="0.25">
      <c r="B148" t="s">
        <v>105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f t="shared" si="8"/>
        <v>0</v>
      </c>
      <c r="AF148">
        <f t="shared" si="9"/>
        <v>28</v>
      </c>
    </row>
    <row r="149" spans="2:32" x14ac:dyDescent="0.25">
      <c r="B149" t="s">
        <v>107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f t="shared" si="8"/>
        <v>0</v>
      </c>
      <c r="AF149">
        <f t="shared" si="9"/>
        <v>28</v>
      </c>
    </row>
    <row r="150" spans="2:32" x14ac:dyDescent="0.25">
      <c r="B150" t="s">
        <v>108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f t="shared" si="8"/>
        <v>0</v>
      </c>
      <c r="AF150">
        <f t="shared" si="9"/>
        <v>28</v>
      </c>
    </row>
    <row r="151" spans="2:32" x14ac:dyDescent="0.25">
      <c r="B151" t="s">
        <v>110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f t="shared" si="8"/>
        <v>0</v>
      </c>
      <c r="AF151">
        <f t="shared" si="9"/>
        <v>28</v>
      </c>
    </row>
    <row r="152" spans="2:32" x14ac:dyDescent="0.25">
      <c r="B152" t="s">
        <v>111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f t="shared" si="8"/>
        <v>0</v>
      </c>
      <c r="AF152">
        <f t="shared" si="9"/>
        <v>28</v>
      </c>
    </row>
    <row r="153" spans="2:32" x14ac:dyDescent="0.25">
      <c r="B153" t="s">
        <v>113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f t="shared" si="8"/>
        <v>0</v>
      </c>
      <c r="AF153">
        <f t="shared" si="9"/>
        <v>28</v>
      </c>
    </row>
    <row r="154" spans="2:32" x14ac:dyDescent="0.25">
      <c r="B154" t="s">
        <v>114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f t="shared" si="8"/>
        <v>0</v>
      </c>
      <c r="AF154">
        <f t="shared" si="9"/>
        <v>28</v>
      </c>
    </row>
    <row r="155" spans="2:32" x14ac:dyDescent="0.25">
      <c r="B155" t="s">
        <v>115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f t="shared" si="8"/>
        <v>0</v>
      </c>
      <c r="AF155">
        <f t="shared" si="9"/>
        <v>28</v>
      </c>
    </row>
    <row r="156" spans="2:32" x14ac:dyDescent="0.25">
      <c r="B156" t="s">
        <v>118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f t="shared" si="8"/>
        <v>0</v>
      </c>
      <c r="AF156">
        <f t="shared" si="9"/>
        <v>28</v>
      </c>
    </row>
    <row r="157" spans="2:32" x14ac:dyDescent="0.25">
      <c r="B157" t="s">
        <v>119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f t="shared" si="8"/>
        <v>0</v>
      </c>
      <c r="AF157">
        <f t="shared" si="9"/>
        <v>28</v>
      </c>
    </row>
    <row r="158" spans="2:32" x14ac:dyDescent="0.25">
      <c r="B158" t="s">
        <v>121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f t="shared" si="8"/>
        <v>0</v>
      </c>
      <c r="AF158">
        <f t="shared" si="9"/>
        <v>28</v>
      </c>
    </row>
    <row r="159" spans="2:32" x14ac:dyDescent="0.25">
      <c r="B159" t="s">
        <v>123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f t="shared" si="8"/>
        <v>0</v>
      </c>
      <c r="AF159">
        <f t="shared" si="9"/>
        <v>28</v>
      </c>
    </row>
    <row r="160" spans="2:32" x14ac:dyDescent="0.25">
      <c r="B160" t="s">
        <v>124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f t="shared" si="8"/>
        <v>0</v>
      </c>
      <c r="AF160">
        <f t="shared" si="9"/>
        <v>28</v>
      </c>
    </row>
    <row r="161" spans="2:32" x14ac:dyDescent="0.25">
      <c r="B161" t="s">
        <v>129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f t="shared" si="8"/>
        <v>0</v>
      </c>
      <c r="AF161">
        <f t="shared" si="9"/>
        <v>28</v>
      </c>
    </row>
    <row r="162" spans="2:32" x14ac:dyDescent="0.25">
      <c r="B162" t="s">
        <v>130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f t="shared" si="8"/>
        <v>0</v>
      </c>
      <c r="AF162">
        <f t="shared" si="9"/>
        <v>28</v>
      </c>
    </row>
    <row r="163" spans="2:32" x14ac:dyDescent="0.25">
      <c r="B163" t="s">
        <v>134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f t="shared" ref="AE163:AE194" si="10">AVERAGE(C163:AD163)</f>
        <v>0</v>
      </c>
      <c r="AF163">
        <f t="shared" ref="AF163:AF194" si="11">COUNTIF(C163:AD163,"0")</f>
        <v>28</v>
      </c>
    </row>
    <row r="164" spans="2:32" x14ac:dyDescent="0.25">
      <c r="B164" t="s">
        <v>137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f t="shared" si="10"/>
        <v>0</v>
      </c>
      <c r="AF164">
        <f t="shared" si="11"/>
        <v>28</v>
      </c>
    </row>
    <row r="165" spans="2:32" x14ac:dyDescent="0.25">
      <c r="B165" t="s">
        <v>141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f t="shared" si="10"/>
        <v>0</v>
      </c>
      <c r="AF165">
        <f t="shared" si="11"/>
        <v>28</v>
      </c>
    </row>
    <row r="166" spans="2:32" x14ac:dyDescent="0.25">
      <c r="B166" t="s">
        <v>146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f t="shared" si="10"/>
        <v>0</v>
      </c>
      <c r="AF166">
        <f t="shared" si="11"/>
        <v>28</v>
      </c>
    </row>
    <row r="167" spans="2:32" x14ac:dyDescent="0.25">
      <c r="B167" t="s">
        <v>147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f t="shared" si="10"/>
        <v>0</v>
      </c>
      <c r="AF167">
        <f t="shared" si="11"/>
        <v>28</v>
      </c>
    </row>
    <row r="168" spans="2:32" x14ac:dyDescent="0.25">
      <c r="B168" t="s">
        <v>150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f t="shared" si="10"/>
        <v>0</v>
      </c>
      <c r="AF168">
        <f t="shared" si="11"/>
        <v>28</v>
      </c>
    </row>
    <row r="169" spans="2:32" x14ac:dyDescent="0.25">
      <c r="B169" t="s">
        <v>154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f t="shared" si="10"/>
        <v>0</v>
      </c>
      <c r="AF169">
        <f t="shared" si="11"/>
        <v>28</v>
      </c>
    </row>
    <row r="170" spans="2:32" x14ac:dyDescent="0.25">
      <c r="B170" t="s">
        <v>155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f t="shared" si="10"/>
        <v>0</v>
      </c>
      <c r="AF170">
        <f t="shared" si="11"/>
        <v>28</v>
      </c>
    </row>
    <row r="171" spans="2:32" x14ac:dyDescent="0.25">
      <c r="B171" t="s">
        <v>156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f t="shared" si="10"/>
        <v>0</v>
      </c>
      <c r="AF171">
        <f t="shared" si="11"/>
        <v>28</v>
      </c>
    </row>
    <row r="172" spans="2:32" x14ac:dyDescent="0.25">
      <c r="B172" t="s">
        <v>157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f t="shared" si="10"/>
        <v>0</v>
      </c>
      <c r="AF172">
        <f t="shared" si="11"/>
        <v>28</v>
      </c>
    </row>
    <row r="173" spans="2:32" x14ac:dyDescent="0.25">
      <c r="B173" t="s">
        <v>159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f t="shared" si="10"/>
        <v>0</v>
      </c>
      <c r="AF173">
        <f t="shared" si="11"/>
        <v>28</v>
      </c>
    </row>
    <row r="174" spans="2:32" x14ac:dyDescent="0.25">
      <c r="B174" t="s">
        <v>161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f t="shared" si="10"/>
        <v>0</v>
      </c>
      <c r="AF174">
        <f t="shared" si="11"/>
        <v>28</v>
      </c>
    </row>
    <row r="175" spans="2:32" x14ac:dyDescent="0.25">
      <c r="B175" t="s">
        <v>162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f t="shared" si="10"/>
        <v>0</v>
      </c>
      <c r="AF175">
        <f t="shared" si="11"/>
        <v>28</v>
      </c>
    </row>
    <row r="176" spans="2:32" x14ac:dyDescent="0.25">
      <c r="B176" t="s">
        <v>166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f t="shared" si="10"/>
        <v>0</v>
      </c>
      <c r="AF176">
        <f t="shared" si="11"/>
        <v>28</v>
      </c>
    </row>
    <row r="177" spans="2:32" x14ac:dyDescent="0.25">
      <c r="B177" t="s">
        <v>169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f t="shared" si="10"/>
        <v>0</v>
      </c>
      <c r="AF177">
        <f t="shared" si="11"/>
        <v>28</v>
      </c>
    </row>
    <row r="178" spans="2:32" x14ac:dyDescent="0.25">
      <c r="B178" t="s">
        <v>171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f t="shared" si="10"/>
        <v>0</v>
      </c>
      <c r="AF178">
        <f t="shared" si="11"/>
        <v>28</v>
      </c>
    </row>
    <row r="179" spans="2:32" x14ac:dyDescent="0.25">
      <c r="B179" t="s">
        <v>173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f t="shared" si="10"/>
        <v>0</v>
      </c>
      <c r="AF179">
        <f t="shared" si="11"/>
        <v>28</v>
      </c>
    </row>
    <row r="180" spans="2:32" x14ac:dyDescent="0.25">
      <c r="B180" t="s">
        <v>177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f t="shared" si="10"/>
        <v>0</v>
      </c>
      <c r="AF180">
        <f t="shared" si="11"/>
        <v>28</v>
      </c>
    </row>
    <row r="181" spans="2:32" x14ac:dyDescent="0.25">
      <c r="B181" t="s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f t="shared" si="10"/>
        <v>0</v>
      </c>
      <c r="AF181">
        <f t="shared" si="11"/>
        <v>28</v>
      </c>
    </row>
    <row r="182" spans="2:32" x14ac:dyDescent="0.25">
      <c r="B182" t="s">
        <v>187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f t="shared" si="10"/>
        <v>0</v>
      </c>
      <c r="AF182">
        <f t="shared" si="11"/>
        <v>28</v>
      </c>
    </row>
    <row r="183" spans="2:32" x14ac:dyDescent="0.25">
      <c r="B183" t="s">
        <v>191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f t="shared" si="10"/>
        <v>0</v>
      </c>
      <c r="AF183">
        <f t="shared" si="11"/>
        <v>28</v>
      </c>
    </row>
    <row r="184" spans="2:32" x14ac:dyDescent="0.25">
      <c r="B184" t="s">
        <v>194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f t="shared" si="10"/>
        <v>0</v>
      </c>
      <c r="AF184">
        <f t="shared" si="11"/>
        <v>28</v>
      </c>
    </row>
    <row r="185" spans="2:32" x14ac:dyDescent="0.25">
      <c r="B185" t="s">
        <v>199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f t="shared" si="10"/>
        <v>0</v>
      </c>
      <c r="AF185">
        <f t="shared" si="11"/>
        <v>28</v>
      </c>
    </row>
    <row r="186" spans="2:32" x14ac:dyDescent="0.25">
      <c r="B186" t="s">
        <v>200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f t="shared" si="10"/>
        <v>0</v>
      </c>
      <c r="AF186">
        <f t="shared" si="11"/>
        <v>28</v>
      </c>
    </row>
    <row r="187" spans="2:32" x14ac:dyDescent="0.25">
      <c r="B187" t="s">
        <v>202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f t="shared" si="10"/>
        <v>0</v>
      </c>
      <c r="AF187">
        <f t="shared" si="11"/>
        <v>28</v>
      </c>
    </row>
    <row r="188" spans="2:32" x14ac:dyDescent="0.25">
      <c r="B188" t="s">
        <v>206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f t="shared" si="10"/>
        <v>0</v>
      </c>
      <c r="AF188">
        <f t="shared" si="11"/>
        <v>28</v>
      </c>
    </row>
    <row r="189" spans="2:32" x14ac:dyDescent="0.25">
      <c r="B189" t="s">
        <v>207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f t="shared" si="10"/>
        <v>0</v>
      </c>
      <c r="AF189">
        <f t="shared" si="11"/>
        <v>28</v>
      </c>
    </row>
    <row r="190" spans="2:32" x14ac:dyDescent="0.25">
      <c r="B190" t="s">
        <v>208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f t="shared" si="10"/>
        <v>0</v>
      </c>
      <c r="AF190">
        <f t="shared" si="11"/>
        <v>28</v>
      </c>
    </row>
    <row r="191" spans="2:32" x14ac:dyDescent="0.25">
      <c r="B191" t="s">
        <v>209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f t="shared" si="10"/>
        <v>0</v>
      </c>
      <c r="AF191">
        <f t="shared" si="11"/>
        <v>28</v>
      </c>
    </row>
    <row r="192" spans="2:32" x14ac:dyDescent="0.25">
      <c r="B192" t="s">
        <v>214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f t="shared" si="10"/>
        <v>0</v>
      </c>
      <c r="AF192">
        <f t="shared" si="11"/>
        <v>28</v>
      </c>
    </row>
    <row r="193" spans="2:32" x14ac:dyDescent="0.25">
      <c r="B193" t="s">
        <v>215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f t="shared" si="10"/>
        <v>0</v>
      </c>
      <c r="AF193">
        <f t="shared" si="11"/>
        <v>28</v>
      </c>
    </row>
    <row r="194" spans="2:32" x14ac:dyDescent="0.25">
      <c r="B194" t="s">
        <v>221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f t="shared" si="10"/>
        <v>0</v>
      </c>
      <c r="AF194">
        <f t="shared" si="11"/>
        <v>28</v>
      </c>
    </row>
  </sheetData>
  <autoFilter ref="B2:AF2" xr:uid="{ECBA89E0-3317-4803-A9EA-8B72F26477EA}">
    <sortState xmlns:xlrd2="http://schemas.microsoft.com/office/spreadsheetml/2017/richdata2" ref="B3:AF194">
      <sortCondition ref="AF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8C88-E3F2-4491-BBCD-97B8F5869A05}">
  <dimension ref="B2:AH194"/>
  <sheetViews>
    <sheetView topLeftCell="B2" workbookViewId="0">
      <selection activeCell="B3" sqref="B3:B15"/>
    </sheetView>
  </sheetViews>
  <sheetFormatPr defaultRowHeight="15" x14ac:dyDescent="0.25"/>
  <cols>
    <col min="2" max="2" width="65" bestFit="1" customWidth="1"/>
    <col min="3" max="32" width="24.28515625" bestFit="1" customWidth="1"/>
    <col min="33" max="33" width="21.140625" bestFit="1" customWidth="1"/>
    <col min="34" max="34" width="23.42578125" bestFit="1" customWidth="1"/>
  </cols>
  <sheetData>
    <row r="2" spans="2:34" x14ac:dyDescent="0.25">
      <c r="B2" t="s">
        <v>225</v>
      </c>
      <c r="C2" t="s">
        <v>281</v>
      </c>
      <c r="D2" t="s">
        <v>282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J2" t="s">
        <v>288</v>
      </c>
      <c r="K2" t="s">
        <v>289</v>
      </c>
      <c r="L2" t="s">
        <v>290</v>
      </c>
      <c r="M2" t="s">
        <v>291</v>
      </c>
      <c r="N2" t="s">
        <v>292</v>
      </c>
      <c r="O2" t="s">
        <v>293</v>
      </c>
      <c r="P2" t="s">
        <v>294</v>
      </c>
      <c r="Q2" t="s">
        <v>295</v>
      </c>
      <c r="R2" t="s">
        <v>296</v>
      </c>
      <c r="S2" t="s">
        <v>297</v>
      </c>
      <c r="T2" t="s">
        <v>298</v>
      </c>
      <c r="U2" t="s">
        <v>299</v>
      </c>
      <c r="V2" t="s">
        <v>300</v>
      </c>
      <c r="W2" t="s">
        <v>301</v>
      </c>
      <c r="X2" t="s">
        <v>302</v>
      </c>
      <c r="Y2" t="s">
        <v>303</v>
      </c>
      <c r="Z2" t="s">
        <v>304</v>
      </c>
      <c r="AA2" t="s">
        <v>305</v>
      </c>
      <c r="AB2" t="s">
        <v>306</v>
      </c>
      <c r="AC2" t="s">
        <v>307</v>
      </c>
      <c r="AD2" t="s">
        <v>308</v>
      </c>
      <c r="AE2" t="s">
        <v>309</v>
      </c>
      <c r="AF2" t="s">
        <v>310</v>
      </c>
      <c r="AG2" t="s">
        <v>224</v>
      </c>
      <c r="AH2" t="s">
        <v>226</v>
      </c>
    </row>
    <row r="3" spans="2:34" x14ac:dyDescent="0.25">
      <c r="B3" s="1" t="s">
        <v>32</v>
      </c>
      <c r="C3">
        <v>9</v>
      </c>
      <c r="D3">
        <v>8</v>
      </c>
      <c r="E3">
        <v>9</v>
      </c>
      <c r="F3">
        <v>8</v>
      </c>
      <c r="G3">
        <v>8</v>
      </c>
      <c r="H3">
        <v>9</v>
      </c>
      <c r="I3">
        <v>9</v>
      </c>
      <c r="J3">
        <v>9</v>
      </c>
      <c r="K3">
        <v>10</v>
      </c>
      <c r="L3">
        <v>8</v>
      </c>
      <c r="M3">
        <v>9</v>
      </c>
      <c r="N3">
        <v>9</v>
      </c>
      <c r="O3">
        <v>6</v>
      </c>
      <c r="P3">
        <v>7</v>
      </c>
      <c r="Q3">
        <v>9</v>
      </c>
      <c r="R3">
        <v>11</v>
      </c>
      <c r="S3">
        <v>9</v>
      </c>
      <c r="T3">
        <v>9</v>
      </c>
      <c r="U3">
        <v>8</v>
      </c>
      <c r="V3">
        <v>9</v>
      </c>
      <c r="W3">
        <v>8</v>
      </c>
      <c r="X3">
        <v>9</v>
      </c>
      <c r="Y3">
        <v>9</v>
      </c>
      <c r="Z3">
        <v>10</v>
      </c>
      <c r="AA3">
        <v>19</v>
      </c>
      <c r="AB3">
        <v>9</v>
      </c>
      <c r="AC3">
        <v>8</v>
      </c>
      <c r="AD3">
        <v>9</v>
      </c>
      <c r="AE3">
        <v>11</v>
      </c>
      <c r="AF3">
        <v>20</v>
      </c>
      <c r="AG3">
        <f t="shared" ref="AG3:AG34" si="0">AVERAGE(C3:AF3)</f>
        <v>9.5</v>
      </c>
      <c r="AH3">
        <f t="shared" ref="AH3:AH34" si="1">COUNTIF(C3:AF3,"0")</f>
        <v>0</v>
      </c>
    </row>
    <row r="4" spans="2:34" x14ac:dyDescent="0.25">
      <c r="B4" s="1" t="s">
        <v>33</v>
      </c>
      <c r="C4">
        <v>24077</v>
      </c>
      <c r="D4">
        <v>30880</v>
      </c>
      <c r="E4">
        <v>31970</v>
      </c>
      <c r="F4">
        <v>33734</v>
      </c>
      <c r="G4">
        <v>28858</v>
      </c>
      <c r="H4">
        <v>29586</v>
      </c>
      <c r="I4">
        <v>27134</v>
      </c>
      <c r="J4">
        <v>40832</v>
      </c>
      <c r="K4">
        <v>48940</v>
      </c>
      <c r="L4">
        <v>36810</v>
      </c>
      <c r="M4">
        <v>42991</v>
      </c>
      <c r="N4">
        <v>24705</v>
      </c>
      <c r="O4">
        <v>23174</v>
      </c>
      <c r="P4">
        <v>32744</v>
      </c>
      <c r="Q4">
        <v>26704</v>
      </c>
      <c r="R4">
        <v>27540</v>
      </c>
      <c r="S4">
        <v>27100</v>
      </c>
      <c r="T4">
        <v>21337</v>
      </c>
      <c r="U4">
        <v>19427</v>
      </c>
      <c r="V4">
        <v>19102</v>
      </c>
      <c r="W4">
        <v>22665</v>
      </c>
      <c r="X4">
        <v>23742</v>
      </c>
      <c r="Y4">
        <v>18969</v>
      </c>
      <c r="Z4">
        <v>21528</v>
      </c>
      <c r="AA4">
        <v>17626</v>
      </c>
      <c r="AB4">
        <v>13319</v>
      </c>
      <c r="AC4">
        <v>11838</v>
      </c>
      <c r="AD4">
        <v>20943</v>
      </c>
      <c r="AE4">
        <v>14615</v>
      </c>
      <c r="AF4">
        <v>16229</v>
      </c>
      <c r="AG4">
        <f t="shared" si="0"/>
        <v>25970.633333333335</v>
      </c>
      <c r="AH4">
        <f t="shared" si="1"/>
        <v>0</v>
      </c>
    </row>
    <row r="5" spans="2:34" x14ac:dyDescent="0.25">
      <c r="B5" s="1" t="s">
        <v>35</v>
      </c>
      <c r="C5">
        <v>6689</v>
      </c>
      <c r="D5">
        <v>4742</v>
      </c>
      <c r="E5">
        <v>6613</v>
      </c>
      <c r="F5">
        <v>6706</v>
      </c>
      <c r="G5">
        <v>6693</v>
      </c>
      <c r="H5">
        <v>6675</v>
      </c>
      <c r="I5">
        <v>5589</v>
      </c>
      <c r="J5">
        <v>6676</v>
      </c>
      <c r="K5">
        <v>6720</v>
      </c>
      <c r="L5">
        <v>6742</v>
      </c>
      <c r="M5">
        <v>4457</v>
      </c>
      <c r="N5">
        <v>6686</v>
      </c>
      <c r="O5">
        <v>6260</v>
      </c>
      <c r="P5">
        <v>5086</v>
      </c>
      <c r="Q5">
        <v>6886</v>
      </c>
      <c r="R5">
        <v>6877</v>
      </c>
      <c r="S5">
        <v>4714</v>
      </c>
      <c r="T5">
        <v>6670</v>
      </c>
      <c r="U5">
        <v>6670</v>
      </c>
      <c r="V5">
        <v>6695</v>
      </c>
      <c r="W5">
        <v>4051</v>
      </c>
      <c r="X5">
        <v>3435</v>
      </c>
      <c r="Y5">
        <v>3980</v>
      </c>
      <c r="Z5">
        <v>6686</v>
      </c>
      <c r="AA5">
        <v>6832</v>
      </c>
      <c r="AB5">
        <v>6766</v>
      </c>
      <c r="AC5">
        <v>6758</v>
      </c>
      <c r="AD5">
        <v>6856</v>
      </c>
      <c r="AE5">
        <v>6792</v>
      </c>
      <c r="AF5">
        <v>6809</v>
      </c>
      <c r="AG5">
        <f t="shared" si="0"/>
        <v>6127.0333333333338</v>
      </c>
      <c r="AH5">
        <f t="shared" si="1"/>
        <v>0</v>
      </c>
    </row>
    <row r="6" spans="2:34" x14ac:dyDescent="0.25">
      <c r="B6" s="1" t="s">
        <v>51</v>
      </c>
      <c r="C6">
        <v>2</v>
      </c>
      <c r="D6">
        <v>3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4</v>
      </c>
      <c r="M6">
        <v>2</v>
      </c>
      <c r="N6">
        <v>1</v>
      </c>
      <c r="O6">
        <v>2</v>
      </c>
      <c r="P6">
        <v>3</v>
      </c>
      <c r="Q6">
        <v>1</v>
      </c>
      <c r="R6">
        <v>2</v>
      </c>
      <c r="S6">
        <v>4</v>
      </c>
      <c r="T6">
        <v>1</v>
      </c>
      <c r="U6">
        <v>1</v>
      </c>
      <c r="V6">
        <v>2</v>
      </c>
      <c r="W6">
        <v>2</v>
      </c>
      <c r="X6">
        <v>7</v>
      </c>
      <c r="Y6">
        <v>3</v>
      </c>
      <c r="Z6">
        <v>2</v>
      </c>
      <c r="AA6">
        <v>3</v>
      </c>
      <c r="AB6">
        <v>3</v>
      </c>
      <c r="AC6">
        <v>2</v>
      </c>
      <c r="AD6">
        <v>2</v>
      </c>
      <c r="AE6">
        <v>3</v>
      </c>
      <c r="AF6">
        <v>2</v>
      </c>
      <c r="AG6">
        <f t="shared" si="0"/>
        <v>2.3666666666666667</v>
      </c>
      <c r="AH6">
        <f t="shared" si="1"/>
        <v>0</v>
      </c>
    </row>
    <row r="7" spans="2:34" x14ac:dyDescent="0.25">
      <c r="B7" s="1" t="s">
        <v>66</v>
      </c>
      <c r="C7">
        <v>35</v>
      </c>
      <c r="D7">
        <v>33</v>
      </c>
      <c r="E7">
        <v>19</v>
      </c>
      <c r="F7">
        <v>42</v>
      </c>
      <c r="G7">
        <v>43</v>
      </c>
      <c r="H7">
        <v>52</v>
      </c>
      <c r="I7">
        <v>46</v>
      </c>
      <c r="J7">
        <v>45</v>
      </c>
      <c r="K7">
        <v>111</v>
      </c>
      <c r="L7">
        <v>81</v>
      </c>
      <c r="M7">
        <v>80</v>
      </c>
      <c r="N7">
        <v>52</v>
      </c>
      <c r="O7">
        <v>21</v>
      </c>
      <c r="P7">
        <v>82</v>
      </c>
      <c r="Q7">
        <v>79</v>
      </c>
      <c r="R7">
        <v>117</v>
      </c>
      <c r="S7">
        <v>56</v>
      </c>
      <c r="T7">
        <v>23</v>
      </c>
      <c r="U7">
        <v>7</v>
      </c>
      <c r="V7">
        <v>34</v>
      </c>
      <c r="W7">
        <v>20</v>
      </c>
      <c r="X7">
        <v>51</v>
      </c>
      <c r="Y7">
        <v>67</v>
      </c>
      <c r="Z7">
        <v>85</v>
      </c>
      <c r="AA7">
        <v>74</v>
      </c>
      <c r="AB7">
        <v>35</v>
      </c>
      <c r="AC7">
        <v>31</v>
      </c>
      <c r="AD7">
        <v>45</v>
      </c>
      <c r="AE7">
        <v>67</v>
      </c>
      <c r="AF7">
        <v>49</v>
      </c>
      <c r="AG7">
        <f t="shared" si="0"/>
        <v>52.733333333333334</v>
      </c>
      <c r="AH7">
        <f t="shared" si="1"/>
        <v>0</v>
      </c>
    </row>
    <row r="8" spans="2:34" x14ac:dyDescent="0.25">
      <c r="B8" s="1" t="s">
        <v>125</v>
      </c>
      <c r="C8">
        <v>1733</v>
      </c>
      <c r="D8">
        <v>1871</v>
      </c>
      <c r="E8">
        <v>2023</v>
      </c>
      <c r="F8">
        <v>3607</v>
      </c>
      <c r="G8">
        <v>1846</v>
      </c>
      <c r="H8">
        <v>2124</v>
      </c>
      <c r="I8">
        <v>2141</v>
      </c>
      <c r="J8">
        <v>1989</v>
      </c>
      <c r="K8">
        <v>2078</v>
      </c>
      <c r="L8">
        <v>1996</v>
      </c>
      <c r="M8">
        <v>2195</v>
      </c>
      <c r="N8">
        <v>2205</v>
      </c>
      <c r="O8">
        <v>3300</v>
      </c>
      <c r="P8">
        <v>5574</v>
      </c>
      <c r="Q8">
        <v>5201</v>
      </c>
      <c r="R8">
        <v>3045</v>
      </c>
      <c r="S8">
        <v>2429</v>
      </c>
      <c r="T8">
        <v>1185</v>
      </c>
      <c r="U8">
        <v>1544</v>
      </c>
      <c r="V8">
        <v>1481</v>
      </c>
      <c r="W8">
        <v>1415</v>
      </c>
      <c r="X8">
        <v>1395</v>
      </c>
      <c r="Y8">
        <v>1582</v>
      </c>
      <c r="Z8">
        <v>1385</v>
      </c>
      <c r="AA8">
        <v>1581</v>
      </c>
      <c r="AB8">
        <v>1412</v>
      </c>
      <c r="AC8">
        <v>1079</v>
      </c>
      <c r="AD8">
        <v>1157</v>
      </c>
      <c r="AE8">
        <v>1156</v>
      </c>
      <c r="AF8">
        <v>1290</v>
      </c>
      <c r="AG8">
        <f t="shared" si="0"/>
        <v>2100.6333333333332</v>
      </c>
      <c r="AH8">
        <f t="shared" si="1"/>
        <v>0</v>
      </c>
    </row>
    <row r="9" spans="2:34" x14ac:dyDescent="0.25">
      <c r="B9" s="1" t="s">
        <v>139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4</v>
      </c>
      <c r="L9">
        <v>4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5</v>
      </c>
      <c r="Z9">
        <v>4</v>
      </c>
      <c r="AA9">
        <v>3</v>
      </c>
      <c r="AB9">
        <v>2</v>
      </c>
      <c r="AC9">
        <v>2</v>
      </c>
      <c r="AD9">
        <v>2</v>
      </c>
      <c r="AE9">
        <v>2</v>
      </c>
      <c r="AF9">
        <v>2</v>
      </c>
      <c r="AG9">
        <f t="shared" si="0"/>
        <v>2.3333333333333335</v>
      </c>
      <c r="AH9">
        <f t="shared" si="1"/>
        <v>0</v>
      </c>
    </row>
    <row r="10" spans="2:34" x14ac:dyDescent="0.25">
      <c r="B10" s="1" t="s">
        <v>143</v>
      </c>
      <c r="C10">
        <v>49</v>
      </c>
      <c r="D10">
        <v>50</v>
      </c>
      <c r="E10">
        <v>44</v>
      </c>
      <c r="F10">
        <v>44</v>
      </c>
      <c r="G10">
        <v>46</v>
      </c>
      <c r="H10">
        <v>53</v>
      </c>
      <c r="I10">
        <v>44</v>
      </c>
      <c r="J10">
        <v>134</v>
      </c>
      <c r="K10">
        <v>77</v>
      </c>
      <c r="L10">
        <v>189</v>
      </c>
      <c r="M10">
        <v>136</v>
      </c>
      <c r="N10">
        <v>65</v>
      </c>
      <c r="O10">
        <v>30</v>
      </c>
      <c r="P10">
        <v>24</v>
      </c>
      <c r="Q10">
        <v>45</v>
      </c>
      <c r="R10">
        <v>124</v>
      </c>
      <c r="S10">
        <v>46</v>
      </c>
      <c r="T10">
        <v>43</v>
      </c>
      <c r="U10">
        <v>37</v>
      </c>
      <c r="V10">
        <v>49</v>
      </c>
      <c r="W10">
        <v>77</v>
      </c>
      <c r="X10">
        <v>94</v>
      </c>
      <c r="Y10">
        <v>92</v>
      </c>
      <c r="Z10">
        <v>132</v>
      </c>
      <c r="AA10">
        <v>82</v>
      </c>
      <c r="AB10">
        <v>53</v>
      </c>
      <c r="AC10">
        <v>54</v>
      </c>
      <c r="AD10">
        <v>79</v>
      </c>
      <c r="AE10">
        <v>117</v>
      </c>
      <c r="AF10">
        <v>165</v>
      </c>
      <c r="AG10">
        <f t="shared" si="0"/>
        <v>75.8</v>
      </c>
      <c r="AH10">
        <f t="shared" si="1"/>
        <v>0</v>
      </c>
    </row>
    <row r="11" spans="2:34" x14ac:dyDescent="0.25">
      <c r="B11" s="1" t="s">
        <v>152</v>
      </c>
      <c r="C11">
        <v>13</v>
      </c>
      <c r="D11">
        <v>17</v>
      </c>
      <c r="E11">
        <v>32</v>
      </c>
      <c r="F11">
        <v>48</v>
      </c>
      <c r="G11">
        <v>48</v>
      </c>
      <c r="H11">
        <v>47</v>
      </c>
      <c r="I11">
        <v>47</v>
      </c>
      <c r="J11">
        <v>47</v>
      </c>
      <c r="K11">
        <v>47</v>
      </c>
      <c r="L11">
        <v>48</v>
      </c>
      <c r="M11">
        <v>45</v>
      </c>
      <c r="N11">
        <v>47</v>
      </c>
      <c r="O11">
        <v>49</v>
      </c>
      <c r="P11">
        <v>47</v>
      </c>
      <c r="Q11">
        <v>47</v>
      </c>
      <c r="R11">
        <v>48</v>
      </c>
      <c r="S11">
        <v>51</v>
      </c>
      <c r="T11">
        <v>49</v>
      </c>
      <c r="U11">
        <v>48</v>
      </c>
      <c r="V11">
        <v>47</v>
      </c>
      <c r="W11">
        <v>15</v>
      </c>
      <c r="X11">
        <v>46</v>
      </c>
      <c r="Y11">
        <v>47</v>
      </c>
      <c r="Z11">
        <v>48</v>
      </c>
      <c r="AA11">
        <v>48</v>
      </c>
      <c r="AB11">
        <v>48</v>
      </c>
      <c r="AC11">
        <v>48</v>
      </c>
      <c r="AD11">
        <v>48</v>
      </c>
      <c r="AE11">
        <v>48</v>
      </c>
      <c r="AF11">
        <v>46</v>
      </c>
      <c r="AG11">
        <f t="shared" si="0"/>
        <v>43.8</v>
      </c>
      <c r="AH11">
        <f t="shared" si="1"/>
        <v>0</v>
      </c>
    </row>
    <row r="12" spans="2:34" x14ac:dyDescent="0.25">
      <c r="B12" s="1" t="s">
        <v>218</v>
      </c>
      <c r="C12">
        <v>5839</v>
      </c>
      <c r="D12">
        <v>5801</v>
      </c>
      <c r="E12">
        <v>5832</v>
      </c>
      <c r="F12">
        <v>5687</v>
      </c>
      <c r="G12">
        <v>5975</v>
      </c>
      <c r="H12">
        <v>5649</v>
      </c>
      <c r="I12">
        <v>5827</v>
      </c>
      <c r="J12">
        <v>5771</v>
      </c>
      <c r="K12">
        <v>5784</v>
      </c>
      <c r="L12">
        <v>6023</v>
      </c>
      <c r="M12">
        <v>5943</v>
      </c>
      <c r="N12">
        <v>6015</v>
      </c>
      <c r="O12">
        <v>5952</v>
      </c>
      <c r="P12">
        <v>6112</v>
      </c>
      <c r="Q12">
        <v>5666</v>
      </c>
      <c r="R12">
        <v>5528</v>
      </c>
      <c r="S12">
        <v>5539</v>
      </c>
      <c r="T12">
        <v>5918</v>
      </c>
      <c r="U12">
        <v>5717</v>
      </c>
      <c r="V12">
        <v>6061</v>
      </c>
      <c r="W12">
        <v>5715</v>
      </c>
      <c r="X12">
        <v>5943</v>
      </c>
      <c r="Y12">
        <v>5250</v>
      </c>
      <c r="Z12">
        <v>5504</v>
      </c>
      <c r="AA12">
        <v>5805</v>
      </c>
      <c r="AB12">
        <v>5783</v>
      </c>
      <c r="AC12">
        <v>5816</v>
      </c>
      <c r="AD12">
        <v>5909</v>
      </c>
      <c r="AE12">
        <v>5718</v>
      </c>
      <c r="AF12">
        <v>5667</v>
      </c>
      <c r="AG12">
        <f t="shared" si="0"/>
        <v>5791.6333333333332</v>
      </c>
      <c r="AH12">
        <f t="shared" si="1"/>
        <v>0</v>
      </c>
    </row>
    <row r="13" spans="2:34" x14ac:dyDescent="0.25">
      <c r="B13" s="1" t="s">
        <v>203</v>
      </c>
      <c r="C13">
        <v>8</v>
      </c>
      <c r="D13">
        <v>6</v>
      </c>
      <c r="E13">
        <v>14</v>
      </c>
      <c r="F13">
        <v>10</v>
      </c>
      <c r="G13">
        <v>3</v>
      </c>
      <c r="H13">
        <v>4</v>
      </c>
      <c r="I13">
        <v>7</v>
      </c>
      <c r="J13">
        <v>6</v>
      </c>
      <c r="K13">
        <v>3</v>
      </c>
      <c r="L13">
        <v>0</v>
      </c>
      <c r="M13">
        <v>6</v>
      </c>
      <c r="N13">
        <v>5</v>
      </c>
      <c r="O13">
        <v>7</v>
      </c>
      <c r="P13">
        <v>12</v>
      </c>
      <c r="Q13">
        <v>21</v>
      </c>
      <c r="R13">
        <v>27</v>
      </c>
      <c r="S13">
        <v>5</v>
      </c>
      <c r="T13">
        <v>24</v>
      </c>
      <c r="U13">
        <v>9</v>
      </c>
      <c r="V13">
        <v>14</v>
      </c>
      <c r="W13">
        <v>24</v>
      </c>
      <c r="X13">
        <v>10</v>
      </c>
      <c r="Y13">
        <v>10</v>
      </c>
      <c r="Z13">
        <v>6</v>
      </c>
      <c r="AA13">
        <v>12</v>
      </c>
      <c r="AB13">
        <v>10</v>
      </c>
      <c r="AC13">
        <v>6</v>
      </c>
      <c r="AD13">
        <v>13</v>
      </c>
      <c r="AE13">
        <v>15</v>
      </c>
      <c r="AF13">
        <v>18</v>
      </c>
      <c r="AG13">
        <f t="shared" si="0"/>
        <v>10.5</v>
      </c>
      <c r="AH13">
        <f t="shared" si="1"/>
        <v>1</v>
      </c>
    </row>
    <row r="14" spans="2:34" x14ac:dyDescent="0.25">
      <c r="B14" s="1" t="s">
        <v>57</v>
      </c>
      <c r="C14">
        <v>105</v>
      </c>
      <c r="D14">
        <v>102</v>
      </c>
      <c r="E14">
        <v>138</v>
      </c>
      <c r="F14">
        <v>75</v>
      </c>
      <c r="G14">
        <v>174</v>
      </c>
      <c r="H14">
        <v>114</v>
      </c>
      <c r="I14">
        <v>104</v>
      </c>
      <c r="J14">
        <v>261</v>
      </c>
      <c r="K14">
        <v>294</v>
      </c>
      <c r="L14">
        <v>309</v>
      </c>
      <c r="M14">
        <v>300</v>
      </c>
      <c r="N14">
        <v>437</v>
      </c>
      <c r="O14">
        <v>309</v>
      </c>
      <c r="P14">
        <v>307</v>
      </c>
      <c r="Q14">
        <v>300</v>
      </c>
      <c r="R14">
        <v>301</v>
      </c>
      <c r="S14">
        <v>259</v>
      </c>
      <c r="T14">
        <v>319</v>
      </c>
      <c r="U14">
        <v>308</v>
      </c>
      <c r="V14">
        <v>296</v>
      </c>
      <c r="W14">
        <v>284</v>
      </c>
      <c r="X14">
        <v>362</v>
      </c>
      <c r="Y14">
        <v>337</v>
      </c>
      <c r="Z14">
        <v>288</v>
      </c>
      <c r="AA14">
        <v>301</v>
      </c>
      <c r="AB14">
        <v>78</v>
      </c>
      <c r="AC14">
        <v>0</v>
      </c>
      <c r="AD14">
        <v>0</v>
      </c>
      <c r="AE14">
        <v>295</v>
      </c>
      <c r="AF14">
        <v>301</v>
      </c>
      <c r="AG14">
        <f t="shared" si="0"/>
        <v>235.26666666666668</v>
      </c>
      <c r="AH14">
        <f t="shared" si="1"/>
        <v>2</v>
      </c>
    </row>
    <row r="15" spans="2:34" x14ac:dyDescent="0.25">
      <c r="B15" s="1" t="s">
        <v>112</v>
      </c>
      <c r="C15">
        <v>1</v>
      </c>
      <c r="D15">
        <v>0</v>
      </c>
      <c r="E15">
        <v>2</v>
      </c>
      <c r="F15">
        <v>1</v>
      </c>
      <c r="G15">
        <v>1</v>
      </c>
      <c r="H15">
        <v>1</v>
      </c>
      <c r="I15">
        <v>1</v>
      </c>
      <c r="J15">
        <v>2</v>
      </c>
      <c r="K15">
        <v>3</v>
      </c>
      <c r="L15">
        <v>14</v>
      </c>
      <c r="M15">
        <v>50</v>
      </c>
      <c r="N15">
        <v>1</v>
      </c>
      <c r="O15">
        <v>0</v>
      </c>
      <c r="P15">
        <v>11</v>
      </c>
      <c r="Q15">
        <v>101</v>
      </c>
      <c r="R15">
        <v>29</v>
      </c>
      <c r="S15">
        <v>3</v>
      </c>
      <c r="T15">
        <v>1</v>
      </c>
      <c r="U15">
        <v>1</v>
      </c>
      <c r="V15">
        <v>1</v>
      </c>
      <c r="W15">
        <v>13</v>
      </c>
      <c r="X15">
        <v>28</v>
      </c>
      <c r="Y15">
        <v>8</v>
      </c>
      <c r="Z15">
        <v>32</v>
      </c>
      <c r="AA15">
        <v>8</v>
      </c>
      <c r="AB15">
        <v>1</v>
      </c>
      <c r="AC15">
        <v>1</v>
      </c>
      <c r="AD15">
        <v>53</v>
      </c>
      <c r="AE15">
        <v>7</v>
      </c>
      <c r="AF15">
        <v>36</v>
      </c>
      <c r="AG15">
        <f t="shared" si="0"/>
        <v>13.7</v>
      </c>
      <c r="AH15">
        <f t="shared" si="1"/>
        <v>2</v>
      </c>
    </row>
    <row r="16" spans="2:34" x14ac:dyDescent="0.25">
      <c r="B16" t="s">
        <v>216</v>
      </c>
      <c r="C16">
        <v>1090</v>
      </c>
      <c r="D16">
        <v>1070</v>
      </c>
      <c r="E16">
        <v>1075</v>
      </c>
      <c r="F16">
        <v>0</v>
      </c>
      <c r="G16">
        <v>0</v>
      </c>
      <c r="H16">
        <v>0</v>
      </c>
      <c r="I16">
        <v>0</v>
      </c>
      <c r="J16">
        <v>178</v>
      </c>
      <c r="K16">
        <v>282</v>
      </c>
      <c r="L16">
        <v>216</v>
      </c>
      <c r="M16">
        <v>388</v>
      </c>
      <c r="N16">
        <v>254</v>
      </c>
      <c r="O16">
        <v>311</v>
      </c>
      <c r="P16">
        <v>878</v>
      </c>
      <c r="Q16">
        <v>897</v>
      </c>
      <c r="R16">
        <v>854</v>
      </c>
      <c r="S16">
        <v>959</v>
      </c>
      <c r="T16">
        <v>937</v>
      </c>
      <c r="U16">
        <v>900</v>
      </c>
      <c r="V16">
        <v>977</v>
      </c>
      <c r="W16">
        <v>1047</v>
      </c>
      <c r="X16">
        <v>1069</v>
      </c>
      <c r="Y16">
        <v>1006</v>
      </c>
      <c r="Z16">
        <v>1074</v>
      </c>
      <c r="AA16">
        <v>1402</v>
      </c>
      <c r="AB16">
        <v>1022</v>
      </c>
      <c r="AC16">
        <v>1044</v>
      </c>
      <c r="AD16">
        <v>1197</v>
      </c>
      <c r="AE16">
        <v>1128</v>
      </c>
      <c r="AF16">
        <v>1079</v>
      </c>
      <c r="AG16">
        <f t="shared" si="0"/>
        <v>744.4666666666667</v>
      </c>
      <c r="AH16">
        <f t="shared" si="1"/>
        <v>4</v>
      </c>
    </row>
    <row r="17" spans="2:34" x14ac:dyDescent="0.25">
      <c r="B17" t="s">
        <v>46</v>
      </c>
      <c r="C17">
        <v>0</v>
      </c>
      <c r="D17">
        <v>9</v>
      </c>
      <c r="E17">
        <v>10</v>
      </c>
      <c r="F17">
        <v>1</v>
      </c>
      <c r="G17">
        <v>4</v>
      </c>
      <c r="H17">
        <v>0</v>
      </c>
      <c r="I17">
        <v>15</v>
      </c>
      <c r="J17">
        <v>41</v>
      </c>
      <c r="K17">
        <v>69</v>
      </c>
      <c r="L17">
        <v>53</v>
      </c>
      <c r="M17">
        <v>26</v>
      </c>
      <c r="N17">
        <v>1</v>
      </c>
      <c r="O17">
        <v>15</v>
      </c>
      <c r="P17">
        <v>110</v>
      </c>
      <c r="Q17">
        <v>47</v>
      </c>
      <c r="R17">
        <v>92</v>
      </c>
      <c r="S17">
        <v>85</v>
      </c>
      <c r="T17">
        <v>0</v>
      </c>
      <c r="U17">
        <v>29</v>
      </c>
      <c r="V17">
        <v>0</v>
      </c>
      <c r="W17">
        <v>63</v>
      </c>
      <c r="X17">
        <v>3</v>
      </c>
      <c r="Y17">
        <v>3</v>
      </c>
      <c r="Z17">
        <v>0</v>
      </c>
      <c r="AA17">
        <v>92</v>
      </c>
      <c r="AB17">
        <v>7</v>
      </c>
      <c r="AC17">
        <v>1</v>
      </c>
      <c r="AD17">
        <v>96</v>
      </c>
      <c r="AE17">
        <v>67</v>
      </c>
      <c r="AF17">
        <v>73</v>
      </c>
      <c r="AG17">
        <f t="shared" si="0"/>
        <v>33.733333333333334</v>
      </c>
      <c r="AH17">
        <f t="shared" si="1"/>
        <v>5</v>
      </c>
    </row>
    <row r="18" spans="2:34" x14ac:dyDescent="0.25">
      <c r="B18" t="s">
        <v>163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2</v>
      </c>
      <c r="J18">
        <v>48</v>
      </c>
      <c r="K18">
        <v>60</v>
      </c>
      <c r="L18">
        <v>69</v>
      </c>
      <c r="M18">
        <v>93</v>
      </c>
      <c r="N18">
        <v>5</v>
      </c>
      <c r="O18">
        <v>2</v>
      </c>
      <c r="P18">
        <v>71</v>
      </c>
      <c r="Q18">
        <v>61</v>
      </c>
      <c r="R18">
        <v>78</v>
      </c>
      <c r="S18">
        <v>62</v>
      </c>
      <c r="T18">
        <v>5</v>
      </c>
      <c r="U18">
        <v>1</v>
      </c>
      <c r="V18">
        <v>4</v>
      </c>
      <c r="W18">
        <v>51</v>
      </c>
      <c r="X18">
        <v>98</v>
      </c>
      <c r="Y18">
        <v>57</v>
      </c>
      <c r="Z18">
        <v>99</v>
      </c>
      <c r="AA18">
        <v>64</v>
      </c>
      <c r="AB18">
        <v>14</v>
      </c>
      <c r="AC18">
        <v>13</v>
      </c>
      <c r="AD18">
        <v>80</v>
      </c>
      <c r="AE18">
        <v>100</v>
      </c>
      <c r="AF18">
        <v>61</v>
      </c>
      <c r="AG18">
        <f t="shared" si="0"/>
        <v>39.966666666666669</v>
      </c>
      <c r="AH18">
        <f t="shared" si="1"/>
        <v>5</v>
      </c>
    </row>
    <row r="19" spans="2:34" x14ac:dyDescent="0.25">
      <c r="B19" t="s">
        <v>70</v>
      </c>
      <c r="C19">
        <v>0</v>
      </c>
      <c r="D19">
        <v>3</v>
      </c>
      <c r="E19">
        <v>12</v>
      </c>
      <c r="F19">
        <v>13</v>
      </c>
      <c r="G19">
        <v>5</v>
      </c>
      <c r="H19">
        <v>0</v>
      </c>
      <c r="I19">
        <v>14</v>
      </c>
      <c r="J19">
        <v>15</v>
      </c>
      <c r="K19">
        <v>29</v>
      </c>
      <c r="L19">
        <v>45</v>
      </c>
      <c r="M19">
        <v>33</v>
      </c>
      <c r="N19">
        <v>3</v>
      </c>
      <c r="O19">
        <v>1</v>
      </c>
      <c r="P19">
        <v>76</v>
      </c>
      <c r="Q19">
        <v>48</v>
      </c>
      <c r="R19">
        <v>54</v>
      </c>
      <c r="S19">
        <v>30</v>
      </c>
      <c r="T19">
        <v>0</v>
      </c>
      <c r="U19">
        <v>2</v>
      </c>
      <c r="V19">
        <v>0</v>
      </c>
      <c r="W19">
        <v>13</v>
      </c>
      <c r="X19">
        <v>3</v>
      </c>
      <c r="Y19">
        <v>0</v>
      </c>
      <c r="Z19">
        <v>0</v>
      </c>
      <c r="AA19">
        <v>34</v>
      </c>
      <c r="AB19">
        <v>11</v>
      </c>
      <c r="AC19">
        <v>8</v>
      </c>
      <c r="AD19">
        <v>47</v>
      </c>
      <c r="AE19">
        <v>57</v>
      </c>
      <c r="AF19">
        <v>48</v>
      </c>
      <c r="AG19">
        <f t="shared" si="0"/>
        <v>20.133333333333333</v>
      </c>
      <c r="AH19">
        <f t="shared" si="1"/>
        <v>6</v>
      </c>
    </row>
    <row r="20" spans="2:34" x14ac:dyDescent="0.25">
      <c r="B20" t="s">
        <v>73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2</v>
      </c>
      <c r="J20">
        <v>6</v>
      </c>
      <c r="K20">
        <v>7</v>
      </c>
      <c r="L20">
        <v>13</v>
      </c>
      <c r="M20">
        <v>14</v>
      </c>
      <c r="N20">
        <v>8</v>
      </c>
      <c r="O20">
        <v>13</v>
      </c>
      <c r="P20">
        <v>42</v>
      </c>
      <c r="Q20">
        <v>15</v>
      </c>
      <c r="R20">
        <v>16</v>
      </c>
      <c r="S20">
        <v>8</v>
      </c>
      <c r="T20">
        <v>4</v>
      </c>
      <c r="U20">
        <v>8</v>
      </c>
      <c r="V20">
        <v>2</v>
      </c>
      <c r="W20">
        <v>7</v>
      </c>
      <c r="X20">
        <v>1</v>
      </c>
      <c r="Y20">
        <v>3</v>
      </c>
      <c r="Z20">
        <v>4</v>
      </c>
      <c r="AA20">
        <v>3</v>
      </c>
      <c r="AB20">
        <v>1</v>
      </c>
      <c r="AC20">
        <v>0</v>
      </c>
      <c r="AD20">
        <v>8</v>
      </c>
      <c r="AE20">
        <v>4</v>
      </c>
      <c r="AF20">
        <v>11</v>
      </c>
      <c r="AG20">
        <f t="shared" si="0"/>
        <v>6.7333333333333334</v>
      </c>
      <c r="AH20">
        <f t="shared" si="1"/>
        <v>6</v>
      </c>
    </row>
    <row r="21" spans="2:34" x14ac:dyDescent="0.25">
      <c r="B21" t="s">
        <v>164</v>
      </c>
      <c r="C21">
        <v>24</v>
      </c>
      <c r="D21">
        <v>4</v>
      </c>
      <c r="E21">
        <v>0</v>
      </c>
      <c r="F21">
        <v>3</v>
      </c>
      <c r="G21">
        <v>0</v>
      </c>
      <c r="H21">
        <v>0</v>
      </c>
      <c r="I21">
        <v>1</v>
      </c>
      <c r="J21">
        <v>21</v>
      </c>
      <c r="K21">
        <v>8</v>
      </c>
      <c r="L21">
        <v>21</v>
      </c>
      <c r="M21">
        <v>32</v>
      </c>
      <c r="N21">
        <v>1</v>
      </c>
      <c r="O21">
        <v>0</v>
      </c>
      <c r="P21">
        <v>38</v>
      </c>
      <c r="Q21">
        <v>45</v>
      </c>
      <c r="R21">
        <v>32</v>
      </c>
      <c r="S21">
        <v>59</v>
      </c>
      <c r="T21">
        <v>0</v>
      </c>
      <c r="U21">
        <v>6</v>
      </c>
      <c r="V21">
        <v>2</v>
      </c>
      <c r="W21">
        <v>26</v>
      </c>
      <c r="X21">
        <v>53</v>
      </c>
      <c r="Y21">
        <v>39</v>
      </c>
      <c r="Z21">
        <v>35</v>
      </c>
      <c r="AA21">
        <v>47</v>
      </c>
      <c r="AB21">
        <v>3</v>
      </c>
      <c r="AC21">
        <v>0</v>
      </c>
      <c r="AD21">
        <v>29</v>
      </c>
      <c r="AE21">
        <v>37</v>
      </c>
      <c r="AF21">
        <v>26</v>
      </c>
      <c r="AG21">
        <f t="shared" si="0"/>
        <v>19.733333333333334</v>
      </c>
      <c r="AH21">
        <f t="shared" si="1"/>
        <v>6</v>
      </c>
    </row>
    <row r="22" spans="2:34" x14ac:dyDescent="0.25">
      <c r="B22" t="s">
        <v>189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2</v>
      </c>
      <c r="K22">
        <v>0</v>
      </c>
      <c r="L22">
        <v>1</v>
      </c>
      <c r="M22">
        <v>0</v>
      </c>
      <c r="N22">
        <v>1</v>
      </c>
      <c r="O22">
        <v>0</v>
      </c>
      <c r="P22">
        <v>2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3</v>
      </c>
      <c r="AA22">
        <v>1</v>
      </c>
      <c r="AB22">
        <v>1</v>
      </c>
      <c r="AC22">
        <v>2</v>
      </c>
      <c r="AD22">
        <v>2</v>
      </c>
      <c r="AE22">
        <v>6</v>
      </c>
      <c r="AF22">
        <v>4</v>
      </c>
      <c r="AG22">
        <f t="shared" si="0"/>
        <v>1.2666666666666666</v>
      </c>
      <c r="AH22">
        <f t="shared" si="1"/>
        <v>6</v>
      </c>
    </row>
    <row r="23" spans="2:34" x14ac:dyDescent="0.25">
      <c r="B23" t="s">
        <v>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16</v>
      </c>
      <c r="J23">
        <v>31</v>
      </c>
      <c r="K23">
        <v>76</v>
      </c>
      <c r="L23">
        <v>60</v>
      </c>
      <c r="M23">
        <v>41</v>
      </c>
      <c r="N23">
        <v>15</v>
      </c>
      <c r="O23">
        <v>0</v>
      </c>
      <c r="P23">
        <v>58</v>
      </c>
      <c r="Q23">
        <v>78</v>
      </c>
      <c r="R23">
        <v>57</v>
      </c>
      <c r="S23">
        <v>70</v>
      </c>
      <c r="T23">
        <v>2</v>
      </c>
      <c r="U23">
        <v>24</v>
      </c>
      <c r="V23">
        <v>1</v>
      </c>
      <c r="W23">
        <v>78</v>
      </c>
      <c r="X23">
        <v>61</v>
      </c>
      <c r="Y23">
        <v>79</v>
      </c>
      <c r="Z23">
        <v>73</v>
      </c>
      <c r="AA23">
        <v>69</v>
      </c>
      <c r="AB23">
        <v>25</v>
      </c>
      <c r="AC23">
        <v>5</v>
      </c>
      <c r="AD23">
        <v>75</v>
      </c>
      <c r="AE23">
        <v>62</v>
      </c>
      <c r="AF23">
        <v>53</v>
      </c>
      <c r="AG23">
        <f t="shared" si="0"/>
        <v>36.966666666666669</v>
      </c>
      <c r="AH23">
        <f t="shared" si="1"/>
        <v>7</v>
      </c>
    </row>
    <row r="24" spans="2:34" x14ac:dyDescent="0.25">
      <c r="B24" t="s">
        <v>55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181</v>
      </c>
      <c r="K24">
        <v>209</v>
      </c>
      <c r="L24">
        <v>220</v>
      </c>
      <c r="M24">
        <v>266</v>
      </c>
      <c r="N24">
        <v>33</v>
      </c>
      <c r="O24">
        <v>10</v>
      </c>
      <c r="P24">
        <v>404</v>
      </c>
      <c r="Q24">
        <v>278</v>
      </c>
      <c r="R24">
        <v>258</v>
      </c>
      <c r="S24">
        <v>179</v>
      </c>
      <c r="T24">
        <v>9</v>
      </c>
      <c r="U24">
        <v>2</v>
      </c>
      <c r="V24">
        <v>7</v>
      </c>
      <c r="W24">
        <v>99</v>
      </c>
      <c r="X24">
        <v>0</v>
      </c>
      <c r="Y24">
        <v>25</v>
      </c>
      <c r="Z24">
        <v>562</v>
      </c>
      <c r="AA24">
        <v>260</v>
      </c>
      <c r="AB24">
        <v>42</v>
      </c>
      <c r="AC24">
        <v>12</v>
      </c>
      <c r="AD24">
        <v>375</v>
      </c>
      <c r="AE24">
        <v>296</v>
      </c>
      <c r="AF24">
        <v>353</v>
      </c>
      <c r="AG24">
        <f t="shared" si="0"/>
        <v>136.16666666666666</v>
      </c>
      <c r="AH24">
        <f t="shared" si="1"/>
        <v>7</v>
      </c>
    </row>
    <row r="25" spans="2:34" x14ac:dyDescent="0.25">
      <c r="B25" t="s">
        <v>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22</v>
      </c>
      <c r="K25">
        <v>44</v>
      </c>
      <c r="L25">
        <v>85</v>
      </c>
      <c r="M25">
        <v>61</v>
      </c>
      <c r="N25">
        <v>35</v>
      </c>
      <c r="O25">
        <v>0</v>
      </c>
      <c r="P25">
        <v>134</v>
      </c>
      <c r="Q25">
        <v>83</v>
      </c>
      <c r="R25">
        <v>97</v>
      </c>
      <c r="S25">
        <v>100</v>
      </c>
      <c r="T25">
        <v>19</v>
      </c>
      <c r="U25">
        <v>33</v>
      </c>
      <c r="V25">
        <v>0</v>
      </c>
      <c r="W25">
        <v>84</v>
      </c>
      <c r="X25">
        <v>110</v>
      </c>
      <c r="Y25">
        <v>92</v>
      </c>
      <c r="Z25">
        <v>110</v>
      </c>
      <c r="AA25">
        <v>92</v>
      </c>
      <c r="AB25">
        <v>60</v>
      </c>
      <c r="AC25">
        <v>3</v>
      </c>
      <c r="AD25">
        <v>95</v>
      </c>
      <c r="AE25">
        <v>93</v>
      </c>
      <c r="AF25">
        <v>72</v>
      </c>
      <c r="AG25">
        <f t="shared" si="0"/>
        <v>51</v>
      </c>
      <c r="AH25">
        <f t="shared" si="1"/>
        <v>8</v>
      </c>
    </row>
    <row r="26" spans="2:34" x14ac:dyDescent="0.25">
      <c r="B26" t="s">
        <v>174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86</v>
      </c>
      <c r="K26">
        <v>91</v>
      </c>
      <c r="L26">
        <v>106</v>
      </c>
      <c r="M26">
        <v>71</v>
      </c>
      <c r="N26">
        <v>9</v>
      </c>
      <c r="O26">
        <v>0</v>
      </c>
      <c r="P26">
        <v>127</v>
      </c>
      <c r="Q26">
        <v>111</v>
      </c>
      <c r="R26">
        <v>114</v>
      </c>
      <c r="S26">
        <v>136</v>
      </c>
      <c r="T26">
        <v>1</v>
      </c>
      <c r="U26">
        <v>10</v>
      </c>
      <c r="V26">
        <v>2</v>
      </c>
      <c r="W26">
        <v>111</v>
      </c>
      <c r="X26">
        <v>91</v>
      </c>
      <c r="Y26">
        <v>158</v>
      </c>
      <c r="Z26">
        <v>134</v>
      </c>
      <c r="AA26">
        <v>45</v>
      </c>
      <c r="AB26">
        <v>17</v>
      </c>
      <c r="AC26">
        <v>4</v>
      </c>
      <c r="AD26">
        <v>93</v>
      </c>
      <c r="AE26">
        <v>105</v>
      </c>
      <c r="AF26">
        <v>117</v>
      </c>
      <c r="AG26">
        <f t="shared" si="0"/>
        <v>57.966666666666669</v>
      </c>
      <c r="AH26">
        <f t="shared" si="1"/>
        <v>8</v>
      </c>
    </row>
    <row r="27" spans="2:34" x14ac:dyDescent="0.25">
      <c r="B27" t="s">
        <v>190</v>
      </c>
      <c r="C27">
        <v>0</v>
      </c>
      <c r="D27">
        <v>0</v>
      </c>
      <c r="E27">
        <v>9</v>
      </c>
      <c r="F27">
        <v>11</v>
      </c>
      <c r="G27">
        <v>0</v>
      </c>
      <c r="H27">
        <v>0</v>
      </c>
      <c r="I27">
        <v>14</v>
      </c>
      <c r="J27">
        <v>80</v>
      </c>
      <c r="K27">
        <v>57</v>
      </c>
      <c r="L27">
        <v>85</v>
      </c>
      <c r="M27">
        <v>88</v>
      </c>
      <c r="N27">
        <v>21</v>
      </c>
      <c r="O27">
        <v>0</v>
      </c>
      <c r="P27">
        <v>124</v>
      </c>
      <c r="Q27">
        <v>91</v>
      </c>
      <c r="R27">
        <v>93</v>
      </c>
      <c r="S27">
        <v>62</v>
      </c>
      <c r="T27">
        <v>0</v>
      </c>
      <c r="U27">
        <v>22</v>
      </c>
      <c r="V27">
        <v>0</v>
      </c>
      <c r="W27">
        <v>87</v>
      </c>
      <c r="X27">
        <v>120</v>
      </c>
      <c r="Y27">
        <v>91</v>
      </c>
      <c r="Z27">
        <v>100</v>
      </c>
      <c r="AA27">
        <v>76</v>
      </c>
      <c r="AB27">
        <v>7</v>
      </c>
      <c r="AC27">
        <v>0</v>
      </c>
      <c r="AD27">
        <v>80</v>
      </c>
      <c r="AE27">
        <v>99</v>
      </c>
      <c r="AF27">
        <v>74</v>
      </c>
      <c r="AG27">
        <f t="shared" si="0"/>
        <v>49.7</v>
      </c>
      <c r="AH27">
        <f t="shared" si="1"/>
        <v>8</v>
      </c>
    </row>
    <row r="28" spans="2:34" x14ac:dyDescent="0.25">
      <c r="B28" t="s">
        <v>78</v>
      </c>
      <c r="C28">
        <v>0</v>
      </c>
      <c r="D28">
        <v>0</v>
      </c>
      <c r="E28">
        <v>2</v>
      </c>
      <c r="F28">
        <v>3</v>
      </c>
      <c r="G28">
        <v>0</v>
      </c>
      <c r="H28">
        <v>0</v>
      </c>
      <c r="I28">
        <v>3</v>
      </c>
      <c r="J28">
        <v>13</v>
      </c>
      <c r="K28">
        <v>23</v>
      </c>
      <c r="L28">
        <v>20</v>
      </c>
      <c r="M28">
        <v>30</v>
      </c>
      <c r="N28">
        <v>7</v>
      </c>
      <c r="O28">
        <v>2</v>
      </c>
      <c r="P28">
        <v>52</v>
      </c>
      <c r="Q28">
        <v>30</v>
      </c>
      <c r="R28">
        <v>46</v>
      </c>
      <c r="S28">
        <v>36</v>
      </c>
      <c r="T28">
        <v>0</v>
      </c>
      <c r="U28">
        <v>0</v>
      </c>
      <c r="V28">
        <v>2</v>
      </c>
      <c r="W28">
        <v>12</v>
      </c>
      <c r="X28">
        <v>0</v>
      </c>
      <c r="Y28">
        <v>0</v>
      </c>
      <c r="Z28">
        <v>0</v>
      </c>
      <c r="AA28">
        <v>78</v>
      </c>
      <c r="AB28">
        <v>1</v>
      </c>
      <c r="AC28">
        <v>9</v>
      </c>
      <c r="AD28">
        <v>83</v>
      </c>
      <c r="AE28">
        <v>39</v>
      </c>
      <c r="AF28">
        <v>77</v>
      </c>
      <c r="AG28">
        <f t="shared" si="0"/>
        <v>18.933333333333334</v>
      </c>
      <c r="AH28">
        <f t="shared" si="1"/>
        <v>9</v>
      </c>
    </row>
    <row r="29" spans="2:34" x14ac:dyDescent="0.25">
      <c r="B29" t="s">
        <v>99</v>
      </c>
      <c r="C29">
        <v>2</v>
      </c>
      <c r="D29">
        <v>0</v>
      </c>
      <c r="E29">
        <v>2</v>
      </c>
      <c r="F29">
        <v>0</v>
      </c>
      <c r="G29">
        <v>2</v>
      </c>
      <c r="H29">
        <v>2</v>
      </c>
      <c r="I29">
        <v>2</v>
      </c>
      <c r="J29">
        <v>0</v>
      </c>
      <c r="K29">
        <v>2</v>
      </c>
      <c r="L29">
        <v>0</v>
      </c>
      <c r="M29">
        <v>2</v>
      </c>
      <c r="N29">
        <v>2</v>
      </c>
      <c r="O29">
        <v>0</v>
      </c>
      <c r="P29">
        <v>2</v>
      </c>
      <c r="Q29">
        <v>2</v>
      </c>
      <c r="R29">
        <v>2</v>
      </c>
      <c r="S29">
        <v>4</v>
      </c>
      <c r="T29">
        <v>0</v>
      </c>
      <c r="U29">
        <v>0</v>
      </c>
      <c r="V29">
        <v>2</v>
      </c>
      <c r="W29">
        <v>2</v>
      </c>
      <c r="X29">
        <v>1</v>
      </c>
      <c r="Y29">
        <v>0</v>
      </c>
      <c r="Z29">
        <v>2</v>
      </c>
      <c r="AA29">
        <v>2</v>
      </c>
      <c r="AB29">
        <v>0</v>
      </c>
      <c r="AC29">
        <v>2</v>
      </c>
      <c r="AD29">
        <v>2</v>
      </c>
      <c r="AE29">
        <v>2</v>
      </c>
      <c r="AF29">
        <v>2</v>
      </c>
      <c r="AG29">
        <f t="shared" si="0"/>
        <v>1.4333333333333333</v>
      </c>
      <c r="AH29">
        <f t="shared" si="1"/>
        <v>9</v>
      </c>
    </row>
    <row r="30" spans="2:34" x14ac:dyDescent="0.25">
      <c r="B30" t="s">
        <v>176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11</v>
      </c>
      <c r="K30">
        <v>33</v>
      </c>
      <c r="L30">
        <v>51</v>
      </c>
      <c r="M30">
        <v>33</v>
      </c>
      <c r="N30">
        <v>4</v>
      </c>
      <c r="O30">
        <v>0</v>
      </c>
      <c r="P30">
        <v>34</v>
      </c>
      <c r="Q30">
        <v>51</v>
      </c>
      <c r="R30">
        <v>78</v>
      </c>
      <c r="S30">
        <v>33</v>
      </c>
      <c r="T30">
        <v>1</v>
      </c>
      <c r="U30">
        <v>0</v>
      </c>
      <c r="V30">
        <v>0</v>
      </c>
      <c r="W30">
        <v>39</v>
      </c>
      <c r="X30">
        <v>40</v>
      </c>
      <c r="Y30">
        <v>96</v>
      </c>
      <c r="Z30">
        <v>55</v>
      </c>
      <c r="AA30">
        <v>25</v>
      </c>
      <c r="AB30">
        <v>2</v>
      </c>
      <c r="AC30">
        <v>2</v>
      </c>
      <c r="AD30">
        <v>74</v>
      </c>
      <c r="AE30">
        <v>33</v>
      </c>
      <c r="AF30">
        <v>92</v>
      </c>
      <c r="AG30">
        <f t="shared" si="0"/>
        <v>26.266666666666666</v>
      </c>
      <c r="AH30">
        <f t="shared" si="1"/>
        <v>9</v>
      </c>
    </row>
    <row r="31" spans="2:34" x14ac:dyDescent="0.25">
      <c r="B31" t="s">
        <v>195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42</v>
      </c>
      <c r="J31">
        <v>151</v>
      </c>
      <c r="K31">
        <v>151</v>
      </c>
      <c r="L31">
        <v>198</v>
      </c>
      <c r="M31">
        <v>198</v>
      </c>
      <c r="N31">
        <v>37</v>
      </c>
      <c r="O31">
        <v>10</v>
      </c>
      <c r="P31">
        <v>288</v>
      </c>
      <c r="Q31">
        <v>311</v>
      </c>
      <c r="R31">
        <v>0</v>
      </c>
      <c r="S31">
        <v>211</v>
      </c>
      <c r="T31">
        <v>0</v>
      </c>
      <c r="U31">
        <v>0</v>
      </c>
      <c r="V31">
        <v>4</v>
      </c>
      <c r="W31">
        <v>304</v>
      </c>
      <c r="X31">
        <v>300</v>
      </c>
      <c r="Y31">
        <v>327</v>
      </c>
      <c r="Z31">
        <v>255</v>
      </c>
      <c r="AA31">
        <v>156</v>
      </c>
      <c r="AB31">
        <v>48</v>
      </c>
      <c r="AC31">
        <v>11</v>
      </c>
      <c r="AD31">
        <v>743</v>
      </c>
      <c r="AE31">
        <v>293</v>
      </c>
      <c r="AF31">
        <v>212</v>
      </c>
      <c r="AG31">
        <f t="shared" si="0"/>
        <v>141.66666666666666</v>
      </c>
      <c r="AH31">
        <f t="shared" si="1"/>
        <v>9</v>
      </c>
    </row>
    <row r="32" spans="2:34" x14ac:dyDescent="0.25">
      <c r="B32" t="s">
        <v>61</v>
      </c>
      <c r="C32">
        <v>0</v>
      </c>
      <c r="D32">
        <v>0</v>
      </c>
      <c r="E32">
        <v>0</v>
      </c>
      <c r="F32">
        <v>0</v>
      </c>
      <c r="G32">
        <v>20</v>
      </c>
      <c r="H32">
        <v>0</v>
      </c>
      <c r="I32">
        <v>12</v>
      </c>
      <c r="J32">
        <v>34</v>
      </c>
      <c r="K32">
        <v>4</v>
      </c>
      <c r="L32">
        <v>1</v>
      </c>
      <c r="M32">
        <v>9</v>
      </c>
      <c r="N32">
        <v>1</v>
      </c>
      <c r="O32">
        <v>0</v>
      </c>
      <c r="P32">
        <v>13</v>
      </c>
      <c r="Q32">
        <v>21</v>
      </c>
      <c r="R32">
        <v>11</v>
      </c>
      <c r="S32">
        <v>0</v>
      </c>
      <c r="T32">
        <v>0</v>
      </c>
      <c r="U32">
        <v>0</v>
      </c>
      <c r="V32">
        <v>4</v>
      </c>
      <c r="W32">
        <v>3</v>
      </c>
      <c r="X32">
        <v>7</v>
      </c>
      <c r="Y32">
        <v>19</v>
      </c>
      <c r="Z32">
        <v>40</v>
      </c>
      <c r="AA32">
        <v>1</v>
      </c>
      <c r="AB32">
        <v>0</v>
      </c>
      <c r="AC32">
        <v>9</v>
      </c>
      <c r="AD32">
        <v>39</v>
      </c>
      <c r="AE32">
        <v>8</v>
      </c>
      <c r="AF32">
        <v>9</v>
      </c>
      <c r="AG32">
        <f t="shared" si="0"/>
        <v>8.8333333333333339</v>
      </c>
      <c r="AH32">
        <f t="shared" si="1"/>
        <v>10</v>
      </c>
    </row>
    <row r="33" spans="2:34" x14ac:dyDescent="0.25">
      <c r="B33" t="s">
        <v>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26</v>
      </c>
      <c r="K33">
        <v>21</v>
      </c>
      <c r="L33">
        <v>25</v>
      </c>
      <c r="M33">
        <v>13</v>
      </c>
      <c r="N33">
        <v>8</v>
      </c>
      <c r="O33">
        <v>6</v>
      </c>
      <c r="P33">
        <v>26</v>
      </c>
      <c r="Q33">
        <v>40</v>
      </c>
      <c r="R33">
        <v>23</v>
      </c>
      <c r="S33">
        <v>36</v>
      </c>
      <c r="T33">
        <v>0</v>
      </c>
      <c r="U33">
        <v>2</v>
      </c>
      <c r="V33">
        <v>0</v>
      </c>
      <c r="W33">
        <v>22</v>
      </c>
      <c r="X33">
        <v>37</v>
      </c>
      <c r="Y33">
        <v>14</v>
      </c>
      <c r="Z33">
        <v>30</v>
      </c>
      <c r="AA33">
        <v>39</v>
      </c>
      <c r="AB33">
        <v>10</v>
      </c>
      <c r="AC33">
        <v>0</v>
      </c>
      <c r="AD33">
        <v>42</v>
      </c>
      <c r="AE33">
        <v>52</v>
      </c>
      <c r="AF33">
        <v>32</v>
      </c>
      <c r="AG33">
        <f t="shared" si="0"/>
        <v>16.8</v>
      </c>
      <c r="AH33">
        <f t="shared" si="1"/>
        <v>10</v>
      </c>
    </row>
    <row r="34" spans="2:34" x14ac:dyDescent="0.25">
      <c r="B34" t="s">
        <v>106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13</v>
      </c>
      <c r="K34">
        <v>8</v>
      </c>
      <c r="L34">
        <v>5</v>
      </c>
      <c r="M34">
        <v>12</v>
      </c>
      <c r="N34">
        <v>2</v>
      </c>
      <c r="O34">
        <v>0</v>
      </c>
      <c r="P34">
        <v>27</v>
      </c>
      <c r="Q34">
        <v>18</v>
      </c>
      <c r="R34">
        <v>16</v>
      </c>
      <c r="S34">
        <v>21</v>
      </c>
      <c r="T34">
        <v>1</v>
      </c>
      <c r="U34">
        <v>3</v>
      </c>
      <c r="V34">
        <v>7</v>
      </c>
      <c r="W34">
        <v>13</v>
      </c>
      <c r="X34">
        <v>19</v>
      </c>
      <c r="Y34">
        <v>19</v>
      </c>
      <c r="Z34">
        <v>31</v>
      </c>
      <c r="AA34">
        <v>20</v>
      </c>
      <c r="AB34">
        <v>0</v>
      </c>
      <c r="AC34">
        <v>0</v>
      </c>
      <c r="AD34">
        <v>31</v>
      </c>
      <c r="AE34">
        <v>14</v>
      </c>
      <c r="AF34">
        <v>21</v>
      </c>
      <c r="AG34">
        <f t="shared" si="0"/>
        <v>10.033333333333333</v>
      </c>
      <c r="AH34">
        <f t="shared" si="1"/>
        <v>10</v>
      </c>
    </row>
    <row r="35" spans="2:34" x14ac:dyDescent="0.25">
      <c r="B35" t="s">
        <v>128</v>
      </c>
      <c r="C35">
        <v>0</v>
      </c>
      <c r="D35">
        <v>0</v>
      </c>
      <c r="E35">
        <v>0</v>
      </c>
      <c r="F35">
        <v>1</v>
      </c>
      <c r="G35">
        <v>2</v>
      </c>
      <c r="H35">
        <v>0</v>
      </c>
      <c r="I35">
        <v>0</v>
      </c>
      <c r="J35">
        <v>0</v>
      </c>
      <c r="K35">
        <v>16</v>
      </c>
      <c r="L35">
        <v>29</v>
      </c>
      <c r="M35">
        <v>39</v>
      </c>
      <c r="N35">
        <v>5</v>
      </c>
      <c r="O35">
        <v>0</v>
      </c>
      <c r="P35">
        <v>18</v>
      </c>
      <c r="Q35">
        <v>28</v>
      </c>
      <c r="R35">
        <v>23</v>
      </c>
      <c r="S35">
        <v>21</v>
      </c>
      <c r="T35">
        <v>0</v>
      </c>
      <c r="U35">
        <v>7</v>
      </c>
      <c r="V35">
        <v>0</v>
      </c>
      <c r="W35">
        <v>33</v>
      </c>
      <c r="X35">
        <v>32</v>
      </c>
      <c r="Y35">
        <v>53</v>
      </c>
      <c r="Z35">
        <v>32</v>
      </c>
      <c r="AA35">
        <v>34</v>
      </c>
      <c r="AB35">
        <v>4</v>
      </c>
      <c r="AC35">
        <v>0</v>
      </c>
      <c r="AD35">
        <v>53</v>
      </c>
      <c r="AE35">
        <v>49</v>
      </c>
      <c r="AF35">
        <v>38</v>
      </c>
      <c r="AG35">
        <f t="shared" ref="AG35:AG66" si="2">AVERAGE(C35:AF35)</f>
        <v>17.233333333333334</v>
      </c>
      <c r="AH35">
        <f t="shared" ref="AH35:AH66" si="3">COUNTIF(C35:AF35,"0")</f>
        <v>10</v>
      </c>
    </row>
    <row r="36" spans="2:34" x14ac:dyDescent="0.25">
      <c r="B36" t="s">
        <v>192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  <c r="K36">
        <v>21</v>
      </c>
      <c r="L36">
        <v>20</v>
      </c>
      <c r="M36">
        <v>17</v>
      </c>
      <c r="N36">
        <v>4</v>
      </c>
      <c r="O36">
        <v>0</v>
      </c>
      <c r="P36">
        <v>8</v>
      </c>
      <c r="Q36">
        <v>4</v>
      </c>
      <c r="R36">
        <v>22</v>
      </c>
      <c r="S36">
        <v>53</v>
      </c>
      <c r="T36">
        <v>0</v>
      </c>
      <c r="U36">
        <v>2</v>
      </c>
      <c r="V36">
        <v>0</v>
      </c>
      <c r="W36">
        <v>20</v>
      </c>
      <c r="X36">
        <v>27</v>
      </c>
      <c r="Y36">
        <v>33</v>
      </c>
      <c r="Z36">
        <v>18</v>
      </c>
      <c r="AA36">
        <v>27</v>
      </c>
      <c r="AB36">
        <v>1</v>
      </c>
      <c r="AC36">
        <v>5</v>
      </c>
      <c r="AD36">
        <v>54</v>
      </c>
      <c r="AE36">
        <v>16</v>
      </c>
      <c r="AF36">
        <v>42</v>
      </c>
      <c r="AG36">
        <f t="shared" si="2"/>
        <v>13.333333333333334</v>
      </c>
      <c r="AH36">
        <f t="shared" si="3"/>
        <v>10</v>
      </c>
    </row>
    <row r="37" spans="2:34" x14ac:dyDescent="0.25"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7</v>
      </c>
      <c r="K37">
        <v>24</v>
      </c>
      <c r="L37">
        <v>35</v>
      </c>
      <c r="M37">
        <v>161</v>
      </c>
      <c r="N37">
        <v>24</v>
      </c>
      <c r="O37">
        <v>8</v>
      </c>
      <c r="P37">
        <v>81</v>
      </c>
      <c r="Q37">
        <v>60</v>
      </c>
      <c r="R37">
        <v>34</v>
      </c>
      <c r="S37">
        <v>31</v>
      </c>
      <c r="T37">
        <v>0</v>
      </c>
      <c r="U37">
        <v>0</v>
      </c>
      <c r="V37">
        <v>0</v>
      </c>
      <c r="W37">
        <v>67</v>
      </c>
      <c r="X37">
        <v>58</v>
      </c>
      <c r="Y37">
        <v>85</v>
      </c>
      <c r="Z37">
        <v>58</v>
      </c>
      <c r="AA37">
        <v>93</v>
      </c>
      <c r="AB37">
        <v>0</v>
      </c>
      <c r="AC37">
        <v>0</v>
      </c>
      <c r="AD37">
        <v>60</v>
      </c>
      <c r="AE37">
        <v>76</v>
      </c>
      <c r="AF37">
        <v>56</v>
      </c>
      <c r="AG37">
        <f t="shared" si="2"/>
        <v>33.966666666666669</v>
      </c>
      <c r="AH37">
        <f t="shared" si="3"/>
        <v>11</v>
      </c>
    </row>
    <row r="38" spans="2:34" x14ac:dyDescent="0.25">
      <c r="B38" t="s">
        <v>90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15</v>
      </c>
      <c r="K38">
        <v>1</v>
      </c>
      <c r="L38">
        <v>37</v>
      </c>
      <c r="M38">
        <v>29</v>
      </c>
      <c r="N38">
        <v>8</v>
      </c>
      <c r="O38">
        <v>1</v>
      </c>
      <c r="P38">
        <v>113</v>
      </c>
      <c r="Q38">
        <v>47</v>
      </c>
      <c r="R38">
        <v>34</v>
      </c>
      <c r="S38">
        <v>36</v>
      </c>
      <c r="T38">
        <v>0</v>
      </c>
      <c r="U38">
        <v>0</v>
      </c>
      <c r="V38">
        <v>0</v>
      </c>
      <c r="W38">
        <v>53</v>
      </c>
      <c r="X38">
        <v>124</v>
      </c>
      <c r="Y38">
        <v>106</v>
      </c>
      <c r="Z38">
        <v>41</v>
      </c>
      <c r="AA38">
        <v>36</v>
      </c>
      <c r="AB38">
        <v>3</v>
      </c>
      <c r="AC38">
        <v>0</v>
      </c>
      <c r="AD38">
        <v>24</v>
      </c>
      <c r="AE38">
        <v>49</v>
      </c>
      <c r="AF38">
        <v>45</v>
      </c>
      <c r="AG38">
        <f t="shared" si="2"/>
        <v>26.733333333333334</v>
      </c>
      <c r="AH38">
        <f t="shared" si="3"/>
        <v>11</v>
      </c>
    </row>
    <row r="39" spans="2:34" x14ac:dyDescent="0.25">
      <c r="B39" t="s">
        <v>133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</v>
      </c>
      <c r="K39">
        <v>14</v>
      </c>
      <c r="L39">
        <v>31</v>
      </c>
      <c r="M39">
        <v>7</v>
      </c>
      <c r="N39">
        <v>2</v>
      </c>
      <c r="O39">
        <v>0</v>
      </c>
      <c r="P39">
        <v>8</v>
      </c>
      <c r="Q39">
        <v>6</v>
      </c>
      <c r="R39">
        <v>10</v>
      </c>
      <c r="S39">
        <v>17</v>
      </c>
      <c r="T39">
        <v>5</v>
      </c>
      <c r="U39">
        <v>1</v>
      </c>
      <c r="V39">
        <v>0</v>
      </c>
      <c r="W39">
        <v>9</v>
      </c>
      <c r="X39">
        <v>7</v>
      </c>
      <c r="Y39">
        <v>11</v>
      </c>
      <c r="Z39">
        <v>11</v>
      </c>
      <c r="AA39">
        <v>4</v>
      </c>
      <c r="AB39">
        <v>0</v>
      </c>
      <c r="AC39">
        <v>0</v>
      </c>
      <c r="AD39">
        <v>9</v>
      </c>
      <c r="AE39">
        <v>2</v>
      </c>
      <c r="AF39">
        <v>9</v>
      </c>
      <c r="AG39">
        <f t="shared" si="2"/>
        <v>6.3666666666666663</v>
      </c>
      <c r="AH39">
        <f t="shared" si="3"/>
        <v>11</v>
      </c>
    </row>
    <row r="40" spans="2:34" x14ac:dyDescent="0.25">
      <c r="B40" t="s">
        <v>172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129</v>
      </c>
      <c r="K40">
        <v>38</v>
      </c>
      <c r="L40">
        <v>15</v>
      </c>
      <c r="M40">
        <v>17</v>
      </c>
      <c r="N40">
        <v>2</v>
      </c>
      <c r="O40">
        <v>0</v>
      </c>
      <c r="P40">
        <v>10</v>
      </c>
      <c r="Q40">
        <v>9</v>
      </c>
      <c r="R40">
        <v>46</v>
      </c>
      <c r="S40">
        <v>11</v>
      </c>
      <c r="T40">
        <v>0</v>
      </c>
      <c r="U40">
        <v>1</v>
      </c>
      <c r="V40">
        <v>0</v>
      </c>
      <c r="W40">
        <v>6</v>
      </c>
      <c r="X40">
        <v>8</v>
      </c>
      <c r="Y40">
        <v>17</v>
      </c>
      <c r="Z40">
        <v>20</v>
      </c>
      <c r="AA40">
        <v>49</v>
      </c>
      <c r="AB40">
        <v>10</v>
      </c>
      <c r="AC40">
        <v>0</v>
      </c>
      <c r="AD40">
        <v>72</v>
      </c>
      <c r="AE40">
        <v>8</v>
      </c>
      <c r="AF40">
        <v>9</v>
      </c>
      <c r="AG40">
        <f t="shared" si="2"/>
        <v>15.9</v>
      </c>
      <c r="AH40">
        <f t="shared" si="3"/>
        <v>11</v>
      </c>
    </row>
    <row r="41" spans="2:34" x14ac:dyDescent="0.25">
      <c r="B41" t="s">
        <v>179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23</v>
      </c>
      <c r="K41">
        <v>34</v>
      </c>
      <c r="L41">
        <v>63</v>
      </c>
      <c r="M41">
        <v>57</v>
      </c>
      <c r="N41">
        <v>0</v>
      </c>
      <c r="O41">
        <v>0</v>
      </c>
      <c r="P41">
        <v>103</v>
      </c>
      <c r="Q41">
        <v>54</v>
      </c>
      <c r="R41">
        <v>53</v>
      </c>
      <c r="S41">
        <v>30</v>
      </c>
      <c r="T41">
        <v>0</v>
      </c>
      <c r="U41">
        <v>3</v>
      </c>
      <c r="V41">
        <v>4</v>
      </c>
      <c r="W41">
        <v>59</v>
      </c>
      <c r="X41">
        <v>57</v>
      </c>
      <c r="Y41">
        <v>74</v>
      </c>
      <c r="Z41">
        <v>56</v>
      </c>
      <c r="AA41">
        <v>51</v>
      </c>
      <c r="AB41">
        <v>3</v>
      </c>
      <c r="AC41">
        <v>0</v>
      </c>
      <c r="AD41">
        <v>51</v>
      </c>
      <c r="AE41">
        <v>77</v>
      </c>
      <c r="AF41">
        <v>41</v>
      </c>
      <c r="AG41">
        <f t="shared" si="2"/>
        <v>29.766666666666666</v>
      </c>
      <c r="AH41">
        <f t="shared" si="3"/>
        <v>11</v>
      </c>
    </row>
    <row r="42" spans="2:34" x14ac:dyDescent="0.25">
      <c r="B42" t="s">
        <v>86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5</v>
      </c>
      <c r="M42">
        <v>2</v>
      </c>
      <c r="N42">
        <v>0</v>
      </c>
      <c r="O42">
        <v>0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4</v>
      </c>
      <c r="Z42">
        <v>4</v>
      </c>
      <c r="AA42">
        <v>5</v>
      </c>
      <c r="AB42">
        <v>0</v>
      </c>
      <c r="AC42">
        <v>2</v>
      </c>
      <c r="AD42">
        <v>2</v>
      </c>
      <c r="AE42">
        <v>2</v>
      </c>
      <c r="AF42">
        <v>2</v>
      </c>
      <c r="AG42">
        <f t="shared" si="2"/>
        <v>1.2333333333333334</v>
      </c>
      <c r="AH42">
        <f t="shared" si="3"/>
        <v>12</v>
      </c>
    </row>
    <row r="43" spans="2:34" x14ac:dyDescent="0.25">
      <c r="B43" t="s">
        <v>136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2</v>
      </c>
      <c r="K43">
        <v>0</v>
      </c>
      <c r="L43">
        <v>2</v>
      </c>
      <c r="M43">
        <v>4</v>
      </c>
      <c r="N43">
        <v>0</v>
      </c>
      <c r="O43">
        <v>0</v>
      </c>
      <c r="P43">
        <v>8</v>
      </c>
      <c r="Q43">
        <v>3</v>
      </c>
      <c r="R43">
        <v>11</v>
      </c>
      <c r="S43">
        <v>7</v>
      </c>
      <c r="T43">
        <v>0</v>
      </c>
      <c r="U43">
        <v>0</v>
      </c>
      <c r="V43">
        <v>0</v>
      </c>
      <c r="W43">
        <v>4</v>
      </c>
      <c r="X43">
        <v>5</v>
      </c>
      <c r="Y43">
        <v>3</v>
      </c>
      <c r="Z43">
        <v>1</v>
      </c>
      <c r="AA43">
        <v>2</v>
      </c>
      <c r="AB43">
        <v>0</v>
      </c>
      <c r="AC43">
        <v>0</v>
      </c>
      <c r="AD43">
        <v>4</v>
      </c>
      <c r="AE43">
        <v>13</v>
      </c>
      <c r="AF43">
        <v>5</v>
      </c>
      <c r="AG43">
        <f t="shared" si="2"/>
        <v>2.5333333333333332</v>
      </c>
      <c r="AH43">
        <f t="shared" si="3"/>
        <v>13</v>
      </c>
    </row>
    <row r="44" spans="2:34" x14ac:dyDescent="0.25">
      <c r="B44" t="s">
        <v>158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f t="shared" si="2"/>
        <v>2.7</v>
      </c>
      <c r="AH44">
        <f t="shared" si="3"/>
        <v>13</v>
      </c>
    </row>
    <row r="45" spans="2:34" x14ac:dyDescent="0.25">
      <c r="B45" t="s">
        <v>167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  <c r="K45">
        <v>1</v>
      </c>
      <c r="L45">
        <v>5</v>
      </c>
      <c r="M45">
        <v>5</v>
      </c>
      <c r="N45">
        <v>0</v>
      </c>
      <c r="O45">
        <v>0</v>
      </c>
      <c r="P45">
        <v>10</v>
      </c>
      <c r="Q45">
        <v>3</v>
      </c>
      <c r="R45">
        <v>3</v>
      </c>
      <c r="S45">
        <v>7</v>
      </c>
      <c r="T45">
        <v>0</v>
      </c>
      <c r="U45">
        <v>0</v>
      </c>
      <c r="V45">
        <v>0</v>
      </c>
      <c r="W45">
        <v>3</v>
      </c>
      <c r="X45">
        <v>7</v>
      </c>
      <c r="Y45">
        <v>2</v>
      </c>
      <c r="Z45">
        <v>2</v>
      </c>
      <c r="AA45">
        <v>3</v>
      </c>
      <c r="AB45">
        <v>1</v>
      </c>
      <c r="AC45">
        <v>0</v>
      </c>
      <c r="AD45">
        <v>5</v>
      </c>
      <c r="AE45">
        <v>9</v>
      </c>
      <c r="AF45">
        <v>13</v>
      </c>
      <c r="AG45">
        <f t="shared" si="2"/>
        <v>2.9</v>
      </c>
      <c r="AH45">
        <f t="shared" si="3"/>
        <v>13</v>
      </c>
    </row>
    <row r="46" spans="2:34" x14ac:dyDescent="0.25">
      <c r="B46" t="s">
        <v>222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13</v>
      </c>
      <c r="L46">
        <v>8</v>
      </c>
      <c r="M46">
        <v>16</v>
      </c>
      <c r="N46">
        <v>0</v>
      </c>
      <c r="O46">
        <v>0</v>
      </c>
      <c r="P46">
        <v>14</v>
      </c>
      <c r="Q46">
        <v>4</v>
      </c>
      <c r="R46">
        <v>19</v>
      </c>
      <c r="S46">
        <v>19</v>
      </c>
      <c r="T46">
        <v>0</v>
      </c>
      <c r="U46">
        <v>0</v>
      </c>
      <c r="V46">
        <v>0</v>
      </c>
      <c r="W46">
        <v>13</v>
      </c>
      <c r="X46">
        <v>8</v>
      </c>
      <c r="Y46">
        <v>7</v>
      </c>
      <c r="Z46">
        <v>4</v>
      </c>
      <c r="AA46">
        <v>12</v>
      </c>
      <c r="AB46">
        <v>2</v>
      </c>
      <c r="AC46">
        <v>0</v>
      </c>
      <c r="AD46">
        <v>9</v>
      </c>
      <c r="AE46">
        <v>8</v>
      </c>
      <c r="AF46">
        <v>20</v>
      </c>
      <c r="AG46">
        <f t="shared" si="2"/>
        <v>5.9666666666666668</v>
      </c>
      <c r="AH46">
        <f t="shared" si="3"/>
        <v>13</v>
      </c>
    </row>
    <row r="47" spans="2:34" x14ac:dyDescent="0.25">
      <c r="B47" t="s">
        <v>109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5</v>
      </c>
      <c r="L47">
        <v>15</v>
      </c>
      <c r="M47">
        <v>12</v>
      </c>
      <c r="N47">
        <v>0</v>
      </c>
      <c r="O47">
        <v>0</v>
      </c>
      <c r="P47">
        <v>4</v>
      </c>
      <c r="Q47">
        <v>8</v>
      </c>
      <c r="R47">
        <v>9</v>
      </c>
      <c r="S47">
        <v>2</v>
      </c>
      <c r="T47">
        <v>0</v>
      </c>
      <c r="U47">
        <v>0</v>
      </c>
      <c r="V47">
        <v>0</v>
      </c>
      <c r="W47">
        <v>8</v>
      </c>
      <c r="X47">
        <v>10</v>
      </c>
      <c r="Y47">
        <v>8</v>
      </c>
      <c r="Z47">
        <v>4</v>
      </c>
      <c r="AA47">
        <v>3</v>
      </c>
      <c r="AB47">
        <v>0</v>
      </c>
      <c r="AC47">
        <v>0</v>
      </c>
      <c r="AD47">
        <v>4</v>
      </c>
      <c r="AE47">
        <v>10</v>
      </c>
      <c r="AF47">
        <v>2</v>
      </c>
      <c r="AG47">
        <f t="shared" si="2"/>
        <v>3.5</v>
      </c>
      <c r="AH47">
        <f t="shared" si="3"/>
        <v>14</v>
      </c>
    </row>
    <row r="48" spans="2:34" x14ac:dyDescent="0.25">
      <c r="B48" t="s">
        <v>122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</v>
      </c>
      <c r="M48">
        <v>4</v>
      </c>
      <c r="N48">
        <v>0</v>
      </c>
      <c r="O48">
        <v>11</v>
      </c>
      <c r="P48">
        <v>2</v>
      </c>
      <c r="Q48">
        <v>10</v>
      </c>
      <c r="R48">
        <v>5</v>
      </c>
      <c r="S48">
        <v>19</v>
      </c>
      <c r="T48">
        <v>0</v>
      </c>
      <c r="U48">
        <v>2</v>
      </c>
      <c r="V48">
        <v>0</v>
      </c>
      <c r="W48">
        <v>32</v>
      </c>
      <c r="X48">
        <v>9</v>
      </c>
      <c r="Y48">
        <v>19</v>
      </c>
      <c r="Z48">
        <v>11</v>
      </c>
      <c r="AA48">
        <v>13</v>
      </c>
      <c r="AB48">
        <v>0</v>
      </c>
      <c r="AC48">
        <v>0</v>
      </c>
      <c r="AD48">
        <v>30</v>
      </c>
      <c r="AE48">
        <v>24</v>
      </c>
      <c r="AF48">
        <v>17</v>
      </c>
      <c r="AG48">
        <f t="shared" si="2"/>
        <v>7.2</v>
      </c>
      <c r="AH48">
        <f t="shared" si="3"/>
        <v>14</v>
      </c>
    </row>
    <row r="49" spans="2:34" x14ac:dyDescent="0.25">
      <c r="B49" t="s">
        <v>182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5</v>
      </c>
      <c r="L49">
        <v>4</v>
      </c>
      <c r="M49">
        <v>13</v>
      </c>
      <c r="N49">
        <v>2</v>
      </c>
      <c r="O49">
        <v>0</v>
      </c>
      <c r="P49">
        <v>13</v>
      </c>
      <c r="Q49">
        <v>11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37</v>
      </c>
      <c r="Y49">
        <v>27</v>
      </c>
      <c r="Z49">
        <v>26</v>
      </c>
      <c r="AA49">
        <v>11</v>
      </c>
      <c r="AB49">
        <v>4</v>
      </c>
      <c r="AC49">
        <v>2</v>
      </c>
      <c r="AD49">
        <v>7</v>
      </c>
      <c r="AE49">
        <v>22</v>
      </c>
      <c r="AF49">
        <v>23</v>
      </c>
      <c r="AG49">
        <f t="shared" si="2"/>
        <v>7.0333333333333332</v>
      </c>
      <c r="AH49">
        <f t="shared" si="3"/>
        <v>14</v>
      </c>
    </row>
    <row r="50" spans="2:34" x14ac:dyDescent="0.25">
      <c r="B50" t="s">
        <v>183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25</v>
      </c>
      <c r="M50">
        <v>33</v>
      </c>
      <c r="N50">
        <v>0</v>
      </c>
      <c r="O50">
        <v>0</v>
      </c>
      <c r="P50">
        <v>7</v>
      </c>
      <c r="Q50">
        <v>18</v>
      </c>
      <c r="R50">
        <v>5</v>
      </c>
      <c r="S50">
        <v>10</v>
      </c>
      <c r="T50">
        <v>0</v>
      </c>
      <c r="U50">
        <v>0</v>
      </c>
      <c r="V50">
        <v>0</v>
      </c>
      <c r="W50">
        <v>20</v>
      </c>
      <c r="X50">
        <v>11</v>
      </c>
      <c r="Y50">
        <v>31</v>
      </c>
      <c r="Z50">
        <v>16</v>
      </c>
      <c r="AA50">
        <v>14</v>
      </c>
      <c r="AB50">
        <v>1</v>
      </c>
      <c r="AC50">
        <v>0</v>
      </c>
      <c r="AD50">
        <v>18</v>
      </c>
      <c r="AE50">
        <v>9</v>
      </c>
      <c r="AF50">
        <v>10</v>
      </c>
      <c r="AG50">
        <f t="shared" si="2"/>
        <v>7.6333333333333337</v>
      </c>
      <c r="AH50">
        <f t="shared" si="3"/>
        <v>14</v>
      </c>
    </row>
    <row r="51" spans="2:34" x14ac:dyDescent="0.25">
      <c r="B51" t="s">
        <v>188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7</v>
      </c>
      <c r="L51">
        <v>12</v>
      </c>
      <c r="M51">
        <v>2</v>
      </c>
      <c r="N51">
        <v>0</v>
      </c>
      <c r="O51">
        <v>0</v>
      </c>
      <c r="P51">
        <v>17</v>
      </c>
      <c r="Q51">
        <v>9</v>
      </c>
      <c r="R51">
        <v>16</v>
      </c>
      <c r="S51">
        <v>19</v>
      </c>
      <c r="T51">
        <v>0</v>
      </c>
      <c r="U51">
        <v>0</v>
      </c>
      <c r="V51">
        <v>0</v>
      </c>
      <c r="W51">
        <v>7</v>
      </c>
      <c r="X51">
        <v>15</v>
      </c>
      <c r="Y51">
        <v>9</v>
      </c>
      <c r="Z51">
        <v>8</v>
      </c>
      <c r="AA51">
        <v>9</v>
      </c>
      <c r="AB51">
        <v>2</v>
      </c>
      <c r="AC51">
        <v>0</v>
      </c>
      <c r="AD51">
        <v>29</v>
      </c>
      <c r="AE51">
        <v>5</v>
      </c>
      <c r="AF51">
        <v>23</v>
      </c>
      <c r="AG51">
        <f t="shared" si="2"/>
        <v>6.3</v>
      </c>
      <c r="AH51">
        <f t="shared" si="3"/>
        <v>14</v>
      </c>
    </row>
    <row r="52" spans="2:34" x14ac:dyDescent="0.25">
      <c r="B52" t="s">
        <v>205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2</v>
      </c>
      <c r="N52">
        <v>0</v>
      </c>
      <c r="O52">
        <v>1</v>
      </c>
      <c r="P52">
        <v>4</v>
      </c>
      <c r="Q52">
        <v>3</v>
      </c>
      <c r="R52">
        <v>2</v>
      </c>
      <c r="S52">
        <v>0</v>
      </c>
      <c r="T52">
        <v>0</v>
      </c>
      <c r="U52">
        <v>0</v>
      </c>
      <c r="V52">
        <v>1</v>
      </c>
      <c r="W52">
        <v>1</v>
      </c>
      <c r="X52">
        <v>4</v>
      </c>
      <c r="Y52">
        <v>2</v>
      </c>
      <c r="Z52">
        <v>6</v>
      </c>
      <c r="AA52">
        <v>5</v>
      </c>
      <c r="AB52">
        <v>0</v>
      </c>
      <c r="AC52">
        <v>0</v>
      </c>
      <c r="AD52">
        <v>2</v>
      </c>
      <c r="AE52">
        <v>1</v>
      </c>
      <c r="AF52">
        <v>3</v>
      </c>
      <c r="AG52">
        <f t="shared" si="2"/>
        <v>1.2666666666666666</v>
      </c>
      <c r="AH52">
        <f t="shared" si="3"/>
        <v>15</v>
      </c>
    </row>
    <row r="53" spans="2:34" x14ac:dyDescent="0.25"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11</v>
      </c>
      <c r="M53">
        <v>0</v>
      </c>
      <c r="N53">
        <v>0</v>
      </c>
      <c r="O53">
        <v>0</v>
      </c>
      <c r="P53">
        <v>28</v>
      </c>
      <c r="Q53">
        <v>1</v>
      </c>
      <c r="R53">
        <v>7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2</v>
      </c>
      <c r="Z53">
        <v>0</v>
      </c>
      <c r="AA53">
        <v>4</v>
      </c>
      <c r="AB53">
        <v>0</v>
      </c>
      <c r="AC53">
        <v>0</v>
      </c>
      <c r="AD53">
        <v>5</v>
      </c>
      <c r="AE53">
        <v>1</v>
      </c>
      <c r="AF53">
        <v>19</v>
      </c>
      <c r="AG53">
        <f t="shared" si="2"/>
        <v>2.7666666666666666</v>
      </c>
      <c r="AH53">
        <f t="shared" si="3"/>
        <v>16</v>
      </c>
    </row>
    <row r="54" spans="2:34" x14ac:dyDescent="0.25">
      <c r="B54" t="s">
        <v>60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  <c r="M54">
        <v>6</v>
      </c>
      <c r="N54">
        <v>0</v>
      </c>
      <c r="O54">
        <v>0</v>
      </c>
      <c r="P54">
        <v>12</v>
      </c>
      <c r="Q54">
        <v>2</v>
      </c>
      <c r="R54">
        <v>2</v>
      </c>
      <c r="S54">
        <v>0</v>
      </c>
      <c r="T54">
        <v>0</v>
      </c>
      <c r="U54">
        <v>0</v>
      </c>
      <c r="V54">
        <v>0</v>
      </c>
      <c r="W54">
        <v>4</v>
      </c>
      <c r="X54">
        <v>3</v>
      </c>
      <c r="Y54">
        <v>79</v>
      </c>
      <c r="Z54">
        <v>25</v>
      </c>
      <c r="AA54">
        <v>4</v>
      </c>
      <c r="AB54">
        <v>0</v>
      </c>
      <c r="AC54">
        <v>3</v>
      </c>
      <c r="AD54">
        <v>0</v>
      </c>
      <c r="AE54">
        <v>0</v>
      </c>
      <c r="AF54">
        <v>7</v>
      </c>
      <c r="AG54">
        <f t="shared" si="2"/>
        <v>5.0333333333333332</v>
      </c>
      <c r="AH54">
        <f t="shared" si="3"/>
        <v>17</v>
      </c>
    </row>
    <row r="55" spans="2:34" x14ac:dyDescent="0.25">
      <c r="B55" t="s">
        <v>76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7</v>
      </c>
      <c r="Q55">
        <v>1</v>
      </c>
      <c r="R55">
        <v>3</v>
      </c>
      <c r="S55">
        <v>2</v>
      </c>
      <c r="T55">
        <v>0</v>
      </c>
      <c r="U55">
        <v>0</v>
      </c>
      <c r="V55">
        <v>0</v>
      </c>
      <c r="W55">
        <v>5</v>
      </c>
      <c r="X55">
        <v>16</v>
      </c>
      <c r="Y55">
        <v>2</v>
      </c>
      <c r="Z55">
        <v>1</v>
      </c>
      <c r="AA55">
        <v>6</v>
      </c>
      <c r="AB55">
        <v>0</v>
      </c>
      <c r="AC55">
        <v>0</v>
      </c>
      <c r="AD55">
        <v>6</v>
      </c>
      <c r="AE55">
        <v>2</v>
      </c>
      <c r="AF55">
        <v>1</v>
      </c>
      <c r="AG55">
        <f t="shared" si="2"/>
        <v>1.8</v>
      </c>
      <c r="AH55">
        <f t="shared" si="3"/>
        <v>17</v>
      </c>
    </row>
    <row r="56" spans="2:34" x14ac:dyDescent="0.25">
      <c r="B56" t="s">
        <v>77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10</v>
      </c>
      <c r="M56">
        <v>4</v>
      </c>
      <c r="N56">
        <v>0</v>
      </c>
      <c r="O56">
        <v>0</v>
      </c>
      <c r="P56">
        <v>9</v>
      </c>
      <c r="Q56">
        <v>10</v>
      </c>
      <c r="R56">
        <v>0</v>
      </c>
      <c r="S56">
        <v>10</v>
      </c>
      <c r="T56">
        <v>0</v>
      </c>
      <c r="U56">
        <v>0</v>
      </c>
      <c r="V56">
        <v>0</v>
      </c>
      <c r="W56">
        <v>5</v>
      </c>
      <c r="X56">
        <v>8</v>
      </c>
      <c r="Y56">
        <v>11</v>
      </c>
      <c r="Z56">
        <v>5</v>
      </c>
      <c r="AA56">
        <v>12</v>
      </c>
      <c r="AB56">
        <v>0</v>
      </c>
      <c r="AC56">
        <v>0</v>
      </c>
      <c r="AD56">
        <v>4</v>
      </c>
      <c r="AE56">
        <v>14</v>
      </c>
      <c r="AF56">
        <v>3</v>
      </c>
      <c r="AG56">
        <f t="shared" si="2"/>
        <v>3.5</v>
      </c>
      <c r="AH56">
        <f t="shared" si="3"/>
        <v>17</v>
      </c>
    </row>
    <row r="57" spans="2:34" x14ac:dyDescent="0.25">
      <c r="B57" t="s">
        <v>96</v>
      </c>
      <c r="C57">
        <v>0</v>
      </c>
      <c r="D57">
        <v>1</v>
      </c>
      <c r="E57">
        <v>2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3</v>
      </c>
      <c r="AA57">
        <v>5</v>
      </c>
      <c r="AB57">
        <v>0</v>
      </c>
      <c r="AC57">
        <v>2</v>
      </c>
      <c r="AD57">
        <v>0</v>
      </c>
      <c r="AE57">
        <v>0</v>
      </c>
      <c r="AF57">
        <v>3</v>
      </c>
      <c r="AG57">
        <f t="shared" si="2"/>
        <v>0.83333333333333337</v>
      </c>
      <c r="AH57">
        <f t="shared" si="3"/>
        <v>17</v>
      </c>
    </row>
    <row r="58" spans="2:34" x14ac:dyDescent="0.25">
      <c r="B58" t="s">
        <v>170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3</v>
      </c>
      <c r="K58">
        <v>0</v>
      </c>
      <c r="L58">
        <v>3</v>
      </c>
      <c r="M58">
        <v>0</v>
      </c>
      <c r="N58">
        <v>0</v>
      </c>
      <c r="O58">
        <v>0</v>
      </c>
      <c r="P58">
        <v>8</v>
      </c>
      <c r="Q58">
        <v>2</v>
      </c>
      <c r="R58">
        <v>3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5</v>
      </c>
      <c r="AA58">
        <v>2</v>
      </c>
      <c r="AB58">
        <v>0</v>
      </c>
      <c r="AC58">
        <v>0</v>
      </c>
      <c r="AD58">
        <v>1</v>
      </c>
      <c r="AE58">
        <v>3</v>
      </c>
      <c r="AF58">
        <v>9</v>
      </c>
      <c r="AG58">
        <f t="shared" si="2"/>
        <v>1.5</v>
      </c>
      <c r="AH58">
        <f t="shared" si="3"/>
        <v>17</v>
      </c>
    </row>
    <row r="59" spans="2:34" x14ac:dyDescent="0.25">
      <c r="B59" t="s">
        <v>181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3</v>
      </c>
      <c r="N59">
        <v>1</v>
      </c>
      <c r="O59">
        <v>0</v>
      </c>
      <c r="P59">
        <v>7</v>
      </c>
      <c r="Q59">
        <v>2</v>
      </c>
      <c r="R59"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3</v>
      </c>
      <c r="Z59">
        <v>0</v>
      </c>
      <c r="AA59">
        <v>2</v>
      </c>
      <c r="AB59">
        <v>0</v>
      </c>
      <c r="AC59">
        <v>0</v>
      </c>
      <c r="AD59">
        <v>1</v>
      </c>
      <c r="AE59">
        <v>1</v>
      </c>
      <c r="AF59">
        <v>46</v>
      </c>
      <c r="AG59">
        <f t="shared" si="2"/>
        <v>2.4333333333333331</v>
      </c>
      <c r="AH59">
        <f t="shared" si="3"/>
        <v>17</v>
      </c>
    </row>
    <row r="60" spans="2:34" x14ac:dyDescent="0.25">
      <c r="B60" t="s">
        <v>131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9</v>
      </c>
      <c r="K60">
        <v>0</v>
      </c>
      <c r="L60">
        <v>3</v>
      </c>
      <c r="M60">
        <v>2</v>
      </c>
      <c r="N60">
        <v>0</v>
      </c>
      <c r="O60">
        <v>0</v>
      </c>
      <c r="P60">
        <v>6</v>
      </c>
      <c r="Q60">
        <v>3</v>
      </c>
      <c r="R60">
        <v>1</v>
      </c>
      <c r="S60">
        <v>1</v>
      </c>
      <c r="T60">
        <v>0</v>
      </c>
      <c r="U60">
        <v>0</v>
      </c>
      <c r="V60">
        <v>0</v>
      </c>
      <c r="W60">
        <v>3</v>
      </c>
      <c r="X60">
        <v>0</v>
      </c>
      <c r="Y60">
        <v>2</v>
      </c>
      <c r="Z60">
        <v>1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3</v>
      </c>
      <c r="AG60">
        <f t="shared" si="2"/>
        <v>1.2</v>
      </c>
      <c r="AH60">
        <f t="shared" si="3"/>
        <v>18</v>
      </c>
    </row>
    <row r="61" spans="2:34" x14ac:dyDescent="0.25">
      <c r="B61" t="s">
        <v>138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3</v>
      </c>
      <c r="R61">
        <v>0</v>
      </c>
      <c r="S61">
        <v>3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4</v>
      </c>
      <c r="AB61">
        <v>0</v>
      </c>
      <c r="AC61">
        <v>0</v>
      </c>
      <c r="AD61">
        <v>170</v>
      </c>
      <c r="AE61">
        <v>332</v>
      </c>
      <c r="AF61">
        <v>46</v>
      </c>
      <c r="AG61">
        <f t="shared" si="2"/>
        <v>18.733333333333334</v>
      </c>
      <c r="AH61">
        <f t="shared" si="3"/>
        <v>20</v>
      </c>
    </row>
    <row r="62" spans="2:34" x14ac:dyDescent="0.25">
      <c r="B62" t="s">
        <v>116</v>
      </c>
      <c r="C62">
        <v>0</v>
      </c>
      <c r="D62">
        <v>0</v>
      </c>
      <c r="E62">
        <v>1</v>
      </c>
      <c r="F62">
        <v>2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f t="shared" si="2"/>
        <v>0.36666666666666664</v>
      </c>
      <c r="AH62">
        <f t="shared" si="3"/>
        <v>21</v>
      </c>
    </row>
    <row r="63" spans="2:34" x14ac:dyDescent="0.25">
      <c r="B63" t="s">
        <v>193</v>
      </c>
      <c r="C63">
        <v>0</v>
      </c>
      <c r="D63">
        <v>0</v>
      </c>
      <c r="E63">
        <v>4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f t="shared" si="2"/>
        <v>0.46666666666666667</v>
      </c>
      <c r="AH63">
        <f t="shared" si="3"/>
        <v>22</v>
      </c>
    </row>
    <row r="64" spans="2:34" x14ac:dyDescent="0.25">
      <c r="B64" t="s">
        <v>34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1</v>
      </c>
      <c r="AB64">
        <v>0</v>
      </c>
      <c r="AC64">
        <v>3</v>
      </c>
      <c r="AD64">
        <v>0</v>
      </c>
      <c r="AE64">
        <v>2</v>
      </c>
      <c r="AF64">
        <v>0</v>
      </c>
      <c r="AG64">
        <f t="shared" si="2"/>
        <v>0.43333333333333335</v>
      </c>
      <c r="AH64">
        <f t="shared" si="3"/>
        <v>23</v>
      </c>
    </row>
    <row r="65" spans="2:34" x14ac:dyDescent="0.25">
      <c r="B65" t="s">
        <v>87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12</v>
      </c>
      <c r="Q65">
        <v>7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7</v>
      </c>
      <c r="AG65">
        <f t="shared" si="2"/>
        <v>1.1000000000000001</v>
      </c>
      <c r="AH65">
        <f t="shared" si="3"/>
        <v>23</v>
      </c>
    </row>
    <row r="66" spans="2:34" x14ac:dyDescent="0.25">
      <c r="B66" t="s">
        <v>104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</v>
      </c>
      <c r="N66">
        <v>0</v>
      </c>
      <c r="O66">
        <v>0</v>
      </c>
      <c r="P66">
        <v>10</v>
      </c>
      <c r="Q66">
        <v>27</v>
      </c>
      <c r="R66">
        <v>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21</v>
      </c>
      <c r="Z66">
        <v>8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f t="shared" si="2"/>
        <v>2.8</v>
      </c>
      <c r="AH66">
        <f t="shared" si="3"/>
        <v>23</v>
      </c>
    </row>
    <row r="67" spans="2:34" x14ac:dyDescent="0.25">
      <c r="B67" t="s">
        <v>127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f t="shared" ref="AG67:AG98" si="4">AVERAGE(C67:AF67)</f>
        <v>0.23333333333333334</v>
      </c>
      <c r="AH67">
        <f t="shared" ref="AH67:AH98" si="5">COUNTIF(C67:AF67,"0")</f>
        <v>23</v>
      </c>
    </row>
    <row r="68" spans="2:34" x14ac:dyDescent="0.25">
      <c r="B68" t="s">
        <v>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54</v>
      </c>
      <c r="Q68">
        <v>0</v>
      </c>
      <c r="R68">
        <v>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89</v>
      </c>
      <c r="AB68">
        <v>0</v>
      </c>
      <c r="AC68">
        <v>0</v>
      </c>
      <c r="AD68">
        <v>263</v>
      </c>
      <c r="AE68">
        <v>14</v>
      </c>
      <c r="AF68">
        <v>6</v>
      </c>
      <c r="AG68">
        <f t="shared" si="4"/>
        <v>14.5</v>
      </c>
      <c r="AH68">
        <f t="shared" si="5"/>
        <v>24</v>
      </c>
    </row>
    <row r="69" spans="2:34" x14ac:dyDescent="0.25">
      <c r="B69" t="s">
        <v>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11</v>
      </c>
      <c r="M69">
        <v>6</v>
      </c>
      <c r="N69">
        <v>0</v>
      </c>
      <c r="O69">
        <v>0</v>
      </c>
      <c r="P69">
        <v>0</v>
      </c>
      <c r="Q69">
        <v>2</v>
      </c>
      <c r="R69">
        <v>0</v>
      </c>
      <c r="S69">
        <v>1</v>
      </c>
      <c r="T69">
        <v>0</v>
      </c>
      <c r="U69">
        <v>0</v>
      </c>
      <c r="V69">
        <v>0</v>
      </c>
      <c r="W69">
        <v>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f t="shared" si="4"/>
        <v>0.83333333333333337</v>
      </c>
      <c r="AH69">
        <f t="shared" si="5"/>
        <v>25</v>
      </c>
    </row>
    <row r="70" spans="2:34" x14ac:dyDescent="0.25">
      <c r="B70" t="s">
        <v>62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2</v>
      </c>
      <c r="AG70">
        <f t="shared" si="4"/>
        <v>0.2</v>
      </c>
      <c r="AH70">
        <f t="shared" si="5"/>
        <v>25</v>
      </c>
    </row>
    <row r="71" spans="2:34" x14ac:dyDescent="0.25">
      <c r="B71" t="s">
        <v>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f t="shared" si="4"/>
        <v>0.16666666666666666</v>
      </c>
      <c r="AH71">
        <f t="shared" si="5"/>
        <v>25</v>
      </c>
    </row>
    <row r="72" spans="2:34" x14ac:dyDescent="0.25">
      <c r="B72" t="s">
        <v>119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15</v>
      </c>
      <c r="AA72">
        <v>0</v>
      </c>
      <c r="AB72">
        <v>0</v>
      </c>
      <c r="AC72">
        <v>0</v>
      </c>
      <c r="AD72">
        <v>5</v>
      </c>
      <c r="AE72">
        <v>4</v>
      </c>
      <c r="AF72">
        <v>2</v>
      </c>
      <c r="AG72">
        <f t="shared" si="4"/>
        <v>0.96666666666666667</v>
      </c>
      <c r="AH72">
        <f t="shared" si="5"/>
        <v>25</v>
      </c>
    </row>
    <row r="73" spans="2:34" x14ac:dyDescent="0.25">
      <c r="B73" t="s">
        <v>120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0</v>
      </c>
      <c r="AG73">
        <f t="shared" si="4"/>
        <v>0.2</v>
      </c>
      <c r="AH73">
        <f t="shared" si="5"/>
        <v>25</v>
      </c>
    </row>
    <row r="74" spans="2:34" x14ac:dyDescent="0.25">
      <c r="B74" t="s">
        <v>126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1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f t="shared" si="4"/>
        <v>0.26666666666666666</v>
      </c>
      <c r="AH74">
        <f t="shared" si="5"/>
        <v>25</v>
      </c>
    </row>
    <row r="75" spans="2:34" x14ac:dyDescent="0.25">
      <c r="B75" t="s">
        <v>144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f t="shared" si="4"/>
        <v>0.2</v>
      </c>
      <c r="AH75">
        <f t="shared" si="5"/>
        <v>25</v>
      </c>
    </row>
    <row r="76" spans="2:34" x14ac:dyDescent="0.25">
      <c r="B76" t="s">
        <v>211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f t="shared" si="4"/>
        <v>0.26666666666666666</v>
      </c>
      <c r="AH76">
        <f t="shared" si="5"/>
        <v>25</v>
      </c>
    </row>
    <row r="77" spans="2:34" x14ac:dyDescent="0.25">
      <c r="B77" t="s">
        <v>63</v>
      </c>
      <c r="C77">
        <v>11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f t="shared" si="4"/>
        <v>0.46666666666666667</v>
      </c>
      <c r="AH77">
        <f t="shared" si="5"/>
        <v>26</v>
      </c>
    </row>
    <row r="78" spans="2:34" x14ac:dyDescent="0.25">
      <c r="B78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10</v>
      </c>
      <c r="AE78">
        <v>17</v>
      </c>
      <c r="AF78">
        <v>4</v>
      </c>
      <c r="AG78">
        <f t="shared" si="4"/>
        <v>1.1333333333333333</v>
      </c>
      <c r="AH78">
        <f t="shared" si="5"/>
        <v>26</v>
      </c>
    </row>
    <row r="79" spans="2:34" x14ac:dyDescent="0.25">
      <c r="B79" t="s">
        <v>117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2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f t="shared" si="4"/>
        <v>0.23333333333333334</v>
      </c>
      <c r="AH79">
        <f t="shared" si="5"/>
        <v>26</v>
      </c>
    </row>
    <row r="80" spans="2:34" x14ac:dyDescent="0.25">
      <c r="B80" t="s">
        <v>148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7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f t="shared" si="4"/>
        <v>0.33333333333333331</v>
      </c>
      <c r="AH80">
        <f t="shared" si="5"/>
        <v>26</v>
      </c>
    </row>
    <row r="81" spans="2:34" x14ac:dyDescent="0.25">
      <c r="B81" t="s">
        <v>160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3</v>
      </c>
      <c r="Z81">
        <v>0</v>
      </c>
      <c r="AA81">
        <v>37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f t="shared" si="4"/>
        <v>1.4333333333333333</v>
      </c>
      <c r="AH81">
        <f t="shared" si="5"/>
        <v>26</v>
      </c>
    </row>
    <row r="82" spans="2:34" x14ac:dyDescent="0.25">
      <c r="B82" t="s">
        <v>210</v>
      </c>
      <c r="C82">
        <v>3</v>
      </c>
      <c r="D82">
        <v>5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f t="shared" si="4"/>
        <v>0.46666666666666667</v>
      </c>
      <c r="AH82">
        <f t="shared" si="5"/>
        <v>26</v>
      </c>
    </row>
    <row r="83" spans="2:34" x14ac:dyDescent="0.25">
      <c r="B83" t="s">
        <v>108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f t="shared" si="4"/>
        <v>0.16666666666666666</v>
      </c>
      <c r="AH83">
        <f t="shared" si="5"/>
        <v>27</v>
      </c>
    </row>
    <row r="84" spans="2:34" x14ac:dyDescent="0.25">
      <c r="B84" t="s">
        <v>149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f t="shared" si="4"/>
        <v>0.1</v>
      </c>
      <c r="AH84">
        <f t="shared" si="5"/>
        <v>27</v>
      </c>
    </row>
    <row r="85" spans="2:34" x14ac:dyDescent="0.25">
      <c r="B85" t="s">
        <v>64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f t="shared" si="4"/>
        <v>6.6666666666666666E-2</v>
      </c>
      <c r="AH85">
        <f t="shared" si="5"/>
        <v>28</v>
      </c>
    </row>
    <row r="86" spans="2:34" x14ac:dyDescent="0.25">
      <c r="B86" t="s">
        <v>67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f t="shared" si="4"/>
        <v>0.2</v>
      </c>
      <c r="AH86">
        <f t="shared" si="5"/>
        <v>28</v>
      </c>
    </row>
    <row r="87" spans="2:34" x14ac:dyDescent="0.25">
      <c r="B87" t="s">
        <v>71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f t="shared" si="4"/>
        <v>0.3</v>
      </c>
      <c r="AH87">
        <f t="shared" si="5"/>
        <v>28</v>
      </c>
    </row>
    <row r="88" spans="2:34" x14ac:dyDescent="0.25">
      <c r="B88" t="s">
        <v>80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f t="shared" si="4"/>
        <v>6.6666666666666666E-2</v>
      </c>
      <c r="AH88">
        <f t="shared" si="5"/>
        <v>28</v>
      </c>
    </row>
    <row r="89" spans="2:34" x14ac:dyDescent="0.25">
      <c r="B89" t="s">
        <v>84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f t="shared" si="4"/>
        <v>6.6666666666666666E-2</v>
      </c>
      <c r="AH89">
        <f t="shared" si="5"/>
        <v>28</v>
      </c>
    </row>
    <row r="90" spans="2:34" x14ac:dyDescent="0.25">
      <c r="B90" t="s">
        <v>85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f t="shared" si="4"/>
        <v>6.6666666666666666E-2</v>
      </c>
      <c r="AH90">
        <f t="shared" si="5"/>
        <v>28</v>
      </c>
    </row>
    <row r="91" spans="2:34" x14ac:dyDescent="0.25">
      <c r="B91" t="s">
        <v>132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f t="shared" si="4"/>
        <v>6.6666666666666666E-2</v>
      </c>
      <c r="AH91">
        <f t="shared" si="5"/>
        <v>28</v>
      </c>
    </row>
    <row r="92" spans="2:34" x14ac:dyDescent="0.25">
      <c r="B92" t="s">
        <v>151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f t="shared" si="4"/>
        <v>6.6666666666666666E-2</v>
      </c>
      <c r="AH92">
        <f t="shared" si="5"/>
        <v>28</v>
      </c>
    </row>
    <row r="93" spans="2:34" x14ac:dyDescent="0.25">
      <c r="B93" t="s">
        <v>155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f t="shared" si="4"/>
        <v>0.26666666666666666</v>
      </c>
      <c r="AH93">
        <f t="shared" si="5"/>
        <v>28</v>
      </c>
    </row>
    <row r="94" spans="2:34" x14ac:dyDescent="0.25">
      <c r="B94" t="s">
        <v>173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f t="shared" si="4"/>
        <v>0.26666666666666666</v>
      </c>
      <c r="AH94">
        <f t="shared" si="5"/>
        <v>28</v>
      </c>
    </row>
    <row r="95" spans="2:34" x14ac:dyDescent="0.25">
      <c r="B95" t="s">
        <v>213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f t="shared" si="4"/>
        <v>0.1</v>
      </c>
      <c r="AH95">
        <f t="shared" si="5"/>
        <v>28</v>
      </c>
    </row>
    <row r="96" spans="2:34" x14ac:dyDescent="0.25">
      <c r="B96" t="s">
        <v>219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f t="shared" si="4"/>
        <v>6.6666666666666666E-2</v>
      </c>
      <c r="AH96">
        <f t="shared" si="5"/>
        <v>28</v>
      </c>
    </row>
    <row r="97" spans="2:34" x14ac:dyDescent="0.25">
      <c r="B97" t="s">
        <v>36</v>
      </c>
      <c r="C97">
        <v>0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f t="shared" si="4"/>
        <v>6.6666666666666666E-2</v>
      </c>
      <c r="AH97">
        <f t="shared" si="5"/>
        <v>29</v>
      </c>
    </row>
    <row r="98" spans="2:34" x14ac:dyDescent="0.25">
      <c r="B98" t="s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f t="shared" si="4"/>
        <v>0.1</v>
      </c>
      <c r="AH98">
        <f t="shared" si="5"/>
        <v>29</v>
      </c>
    </row>
    <row r="99" spans="2:34" x14ac:dyDescent="0.25">
      <c r="B99" t="s">
        <v>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f t="shared" ref="AG99:AG130" si="6">AVERAGE(C99:AF99)</f>
        <v>3.3333333333333333E-2</v>
      </c>
      <c r="AH99">
        <f t="shared" ref="AH99:AH130" si="7">COUNTIF(C99:AF99,"0")</f>
        <v>29</v>
      </c>
    </row>
    <row r="100" spans="2:34" x14ac:dyDescent="0.25">
      <c r="B100" t="s">
        <v>65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f t="shared" si="6"/>
        <v>3.3333333333333333E-2</v>
      </c>
      <c r="AH100">
        <f t="shared" si="7"/>
        <v>29</v>
      </c>
    </row>
    <row r="101" spans="2:34" x14ac:dyDescent="0.25">
      <c r="B101" t="s">
        <v>113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f t="shared" si="6"/>
        <v>3.3333333333333333E-2</v>
      </c>
      <c r="AH101">
        <f t="shared" si="7"/>
        <v>29</v>
      </c>
    </row>
    <row r="102" spans="2:34" x14ac:dyDescent="0.25">
      <c r="B102" t="s">
        <v>114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f t="shared" si="6"/>
        <v>6.6666666666666666E-2</v>
      </c>
      <c r="AH102">
        <f t="shared" si="7"/>
        <v>29</v>
      </c>
    </row>
    <row r="103" spans="2:34" x14ac:dyDescent="0.25">
      <c r="B103" t="s">
        <v>134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f t="shared" si="6"/>
        <v>0.16666666666666666</v>
      </c>
      <c r="AH103">
        <f t="shared" si="7"/>
        <v>29</v>
      </c>
    </row>
    <row r="104" spans="2:34" x14ac:dyDescent="0.25">
      <c r="B104" t="s">
        <v>135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f t="shared" si="6"/>
        <v>3.3333333333333333E-2</v>
      </c>
      <c r="AH104">
        <f t="shared" si="7"/>
        <v>29</v>
      </c>
    </row>
    <row r="105" spans="2:34" x14ac:dyDescent="0.25">
      <c r="B105" t="s">
        <v>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f t="shared" si="6"/>
        <v>6.6666666666666666E-2</v>
      </c>
      <c r="AH105">
        <f t="shared" si="7"/>
        <v>29</v>
      </c>
    </row>
    <row r="106" spans="2:34" x14ac:dyDescent="0.25">
      <c r="B106" t="s">
        <v>146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f t="shared" si="6"/>
        <v>3.3333333333333333E-2</v>
      </c>
      <c r="AH106">
        <f t="shared" si="7"/>
        <v>29</v>
      </c>
    </row>
    <row r="107" spans="2:34" x14ac:dyDescent="0.25">
      <c r="B107" t="s">
        <v>150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f t="shared" si="6"/>
        <v>3.3333333333333333E-2</v>
      </c>
      <c r="AH107">
        <f t="shared" si="7"/>
        <v>29</v>
      </c>
    </row>
    <row r="108" spans="2:34" x14ac:dyDescent="0.25">
      <c r="B108" t="s">
        <v>165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f t="shared" si="6"/>
        <v>3.3333333333333333E-2</v>
      </c>
      <c r="AH108">
        <f t="shared" si="7"/>
        <v>29</v>
      </c>
    </row>
    <row r="109" spans="2:34" x14ac:dyDescent="0.25">
      <c r="B109" t="s">
        <v>177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f t="shared" si="6"/>
        <v>0.33333333333333331</v>
      </c>
      <c r="AH109">
        <f t="shared" si="7"/>
        <v>29</v>
      </c>
    </row>
    <row r="110" spans="2:34" x14ac:dyDescent="0.25">
      <c r="B110" t="s">
        <v>185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f t="shared" si="6"/>
        <v>3.3333333333333333E-2</v>
      </c>
      <c r="AH110">
        <f t="shared" si="7"/>
        <v>29</v>
      </c>
    </row>
    <row r="111" spans="2:34" x14ac:dyDescent="0.25">
      <c r="B111" t="s">
        <v>194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f t="shared" si="6"/>
        <v>3.3333333333333333E-2</v>
      </c>
      <c r="AH111">
        <f t="shared" si="7"/>
        <v>29</v>
      </c>
    </row>
    <row r="112" spans="2:34" x14ac:dyDescent="0.25">
      <c r="B112" t="s">
        <v>214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f t="shared" si="6"/>
        <v>3.3333333333333333E-2</v>
      </c>
      <c r="AH112">
        <f t="shared" si="7"/>
        <v>29</v>
      </c>
    </row>
    <row r="113" spans="2:34" x14ac:dyDescent="0.25">
      <c r="B113" t="s">
        <v>37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f t="shared" si="6"/>
        <v>0</v>
      </c>
      <c r="AH113">
        <f t="shared" si="7"/>
        <v>30</v>
      </c>
    </row>
    <row r="114" spans="2:34" x14ac:dyDescent="0.25">
      <c r="B114" t="s">
        <v>38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f t="shared" si="6"/>
        <v>0</v>
      </c>
      <c r="AH114">
        <f t="shared" si="7"/>
        <v>30</v>
      </c>
    </row>
    <row r="115" spans="2:34" x14ac:dyDescent="0.25">
      <c r="B115" t="s">
        <v>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f t="shared" si="6"/>
        <v>0</v>
      </c>
      <c r="AH115">
        <f t="shared" si="7"/>
        <v>30</v>
      </c>
    </row>
    <row r="116" spans="2:34" x14ac:dyDescent="0.25">
      <c r="B116" t="s">
        <v>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f t="shared" si="6"/>
        <v>0</v>
      </c>
      <c r="AH116">
        <f t="shared" si="7"/>
        <v>30</v>
      </c>
    </row>
    <row r="117" spans="2:34" x14ac:dyDescent="0.25">
      <c r="B117" t="s">
        <v>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f t="shared" si="6"/>
        <v>0</v>
      </c>
      <c r="AH117">
        <f t="shared" si="7"/>
        <v>30</v>
      </c>
    </row>
    <row r="118" spans="2:34" x14ac:dyDescent="0.25">
      <c r="B118" t="s">
        <v>43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f t="shared" si="6"/>
        <v>0</v>
      </c>
      <c r="AH118">
        <f t="shared" si="7"/>
        <v>30</v>
      </c>
    </row>
    <row r="119" spans="2:34" x14ac:dyDescent="0.25">
      <c r="B119" t="s">
        <v>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f t="shared" si="6"/>
        <v>0</v>
      </c>
      <c r="AH119">
        <f t="shared" si="7"/>
        <v>30</v>
      </c>
    </row>
    <row r="120" spans="2:34" x14ac:dyDescent="0.25">
      <c r="B120" t="s">
        <v>47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f t="shared" si="6"/>
        <v>0</v>
      </c>
      <c r="AH120">
        <f t="shared" si="7"/>
        <v>30</v>
      </c>
    </row>
    <row r="121" spans="2:34" x14ac:dyDescent="0.25">
      <c r="B121" t="s">
        <v>48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f t="shared" si="6"/>
        <v>0</v>
      </c>
      <c r="AH121">
        <f t="shared" si="7"/>
        <v>30</v>
      </c>
    </row>
    <row r="122" spans="2:34" x14ac:dyDescent="0.25">
      <c r="B122" t="s">
        <v>50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f t="shared" si="6"/>
        <v>0</v>
      </c>
      <c r="AH122">
        <f t="shared" si="7"/>
        <v>30</v>
      </c>
    </row>
    <row r="123" spans="2:34" x14ac:dyDescent="0.25">
      <c r="B123" t="s">
        <v>53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f t="shared" si="6"/>
        <v>0</v>
      </c>
      <c r="AH123">
        <f t="shared" si="7"/>
        <v>30</v>
      </c>
    </row>
    <row r="124" spans="2:34" x14ac:dyDescent="0.25">
      <c r="B124" t="s">
        <v>54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f t="shared" si="6"/>
        <v>0</v>
      </c>
      <c r="AH124">
        <f t="shared" si="7"/>
        <v>30</v>
      </c>
    </row>
    <row r="125" spans="2:34" x14ac:dyDescent="0.25">
      <c r="B125" t="s">
        <v>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f t="shared" si="6"/>
        <v>0</v>
      </c>
      <c r="AH125">
        <f t="shared" si="7"/>
        <v>30</v>
      </c>
    </row>
    <row r="126" spans="2:34" x14ac:dyDescent="0.25">
      <c r="B126" t="s">
        <v>58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f t="shared" si="6"/>
        <v>0</v>
      </c>
      <c r="AH126">
        <f t="shared" si="7"/>
        <v>30</v>
      </c>
    </row>
    <row r="127" spans="2:34" x14ac:dyDescent="0.25">
      <c r="B127" t="s">
        <v>59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f t="shared" si="6"/>
        <v>0</v>
      </c>
      <c r="AH127">
        <f t="shared" si="7"/>
        <v>30</v>
      </c>
    </row>
    <row r="128" spans="2:34" x14ac:dyDescent="0.25"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f t="shared" si="6"/>
        <v>0</v>
      </c>
      <c r="AH128">
        <f t="shared" si="7"/>
        <v>30</v>
      </c>
    </row>
    <row r="129" spans="2:34" x14ac:dyDescent="0.25">
      <c r="B129" t="s">
        <v>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f t="shared" si="6"/>
        <v>0</v>
      </c>
      <c r="AH129">
        <f t="shared" si="7"/>
        <v>30</v>
      </c>
    </row>
    <row r="130" spans="2:34" x14ac:dyDescent="0.25">
      <c r="B130" t="s">
        <v>74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f t="shared" si="6"/>
        <v>0</v>
      </c>
      <c r="AH130">
        <f t="shared" si="7"/>
        <v>30</v>
      </c>
    </row>
    <row r="131" spans="2:34" x14ac:dyDescent="0.25">
      <c r="B131" t="s">
        <v>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f t="shared" ref="AG131:AG162" si="8">AVERAGE(C131:AF131)</f>
        <v>0</v>
      </c>
      <c r="AH131">
        <f t="shared" ref="AH131:AH162" si="9">COUNTIF(C131:AF131,"0")</f>
        <v>30</v>
      </c>
    </row>
    <row r="132" spans="2:34" x14ac:dyDescent="0.25">
      <c r="B132" t="s">
        <v>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f t="shared" si="8"/>
        <v>0</v>
      </c>
      <c r="AH132">
        <f t="shared" si="9"/>
        <v>30</v>
      </c>
    </row>
    <row r="133" spans="2:34" x14ac:dyDescent="0.25">
      <c r="B133" t="s">
        <v>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f t="shared" si="8"/>
        <v>0</v>
      </c>
      <c r="AH133">
        <f t="shared" si="9"/>
        <v>30</v>
      </c>
    </row>
    <row r="134" spans="2:34" x14ac:dyDescent="0.25">
      <c r="B134" t="s">
        <v>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f t="shared" si="8"/>
        <v>0</v>
      </c>
      <c r="AH134">
        <f t="shared" si="9"/>
        <v>30</v>
      </c>
    </row>
    <row r="135" spans="2:34" x14ac:dyDescent="0.25">
      <c r="B135" t="s">
        <v>88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f t="shared" si="8"/>
        <v>0</v>
      </c>
      <c r="AH135">
        <f t="shared" si="9"/>
        <v>30</v>
      </c>
    </row>
    <row r="136" spans="2:34" x14ac:dyDescent="0.25">
      <c r="B136" t="s">
        <v>91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f t="shared" si="8"/>
        <v>0</v>
      </c>
      <c r="AH136">
        <f t="shared" si="9"/>
        <v>30</v>
      </c>
    </row>
    <row r="137" spans="2:34" x14ac:dyDescent="0.25">
      <c r="B137" t="s">
        <v>92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f t="shared" si="8"/>
        <v>0</v>
      </c>
      <c r="AH137">
        <f t="shared" si="9"/>
        <v>30</v>
      </c>
    </row>
    <row r="138" spans="2:34" x14ac:dyDescent="0.25">
      <c r="B138" t="s">
        <v>94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f t="shared" si="8"/>
        <v>0</v>
      </c>
      <c r="AH138">
        <f t="shared" si="9"/>
        <v>30</v>
      </c>
    </row>
    <row r="139" spans="2:34" x14ac:dyDescent="0.25">
      <c r="B139" t="s">
        <v>95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f t="shared" si="8"/>
        <v>0</v>
      </c>
      <c r="AH139">
        <f t="shared" si="9"/>
        <v>30</v>
      </c>
    </row>
    <row r="140" spans="2:34" x14ac:dyDescent="0.25">
      <c r="B140" t="s">
        <v>97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f t="shared" si="8"/>
        <v>0</v>
      </c>
      <c r="AH140">
        <f t="shared" si="9"/>
        <v>30</v>
      </c>
    </row>
    <row r="141" spans="2:34" x14ac:dyDescent="0.25">
      <c r="B141" t="s">
        <v>100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f t="shared" si="8"/>
        <v>0</v>
      </c>
      <c r="AH141">
        <f t="shared" si="9"/>
        <v>30</v>
      </c>
    </row>
    <row r="142" spans="2:34" x14ac:dyDescent="0.25">
      <c r="B142" t="s">
        <v>101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f t="shared" si="8"/>
        <v>0</v>
      </c>
      <c r="AH142">
        <f t="shared" si="9"/>
        <v>30</v>
      </c>
    </row>
    <row r="143" spans="2:34" x14ac:dyDescent="0.25">
      <c r="B143" t="s">
        <v>102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f t="shared" si="8"/>
        <v>0</v>
      </c>
      <c r="AH143">
        <f t="shared" si="9"/>
        <v>30</v>
      </c>
    </row>
    <row r="144" spans="2:34" x14ac:dyDescent="0.25">
      <c r="B144" t="s">
        <v>103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f t="shared" si="8"/>
        <v>0</v>
      </c>
      <c r="AH144">
        <f t="shared" si="9"/>
        <v>30</v>
      </c>
    </row>
    <row r="145" spans="2:34" x14ac:dyDescent="0.25">
      <c r="B145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f t="shared" si="8"/>
        <v>0</v>
      </c>
      <c r="AH145">
        <f t="shared" si="9"/>
        <v>30</v>
      </c>
    </row>
    <row r="146" spans="2:34" x14ac:dyDescent="0.25">
      <c r="B146" t="s">
        <v>107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f t="shared" si="8"/>
        <v>0</v>
      </c>
      <c r="AH146">
        <f t="shared" si="9"/>
        <v>30</v>
      </c>
    </row>
    <row r="147" spans="2:34" x14ac:dyDescent="0.25">
      <c r="B147" t="s">
        <v>110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f t="shared" si="8"/>
        <v>0</v>
      </c>
      <c r="AH147">
        <f t="shared" si="9"/>
        <v>30</v>
      </c>
    </row>
    <row r="148" spans="2:34" x14ac:dyDescent="0.25">
      <c r="B148" t="s">
        <v>111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f t="shared" si="8"/>
        <v>0</v>
      </c>
      <c r="AH148">
        <f t="shared" si="9"/>
        <v>30</v>
      </c>
    </row>
    <row r="149" spans="2:34" x14ac:dyDescent="0.25">
      <c r="B149" t="s">
        <v>115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f t="shared" si="8"/>
        <v>0</v>
      </c>
      <c r="AH149">
        <f t="shared" si="9"/>
        <v>30</v>
      </c>
    </row>
    <row r="150" spans="2:34" x14ac:dyDescent="0.25">
      <c r="B150" t="s">
        <v>118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f t="shared" si="8"/>
        <v>0</v>
      </c>
      <c r="AH150">
        <f t="shared" si="9"/>
        <v>30</v>
      </c>
    </row>
    <row r="151" spans="2:34" x14ac:dyDescent="0.25">
      <c r="B151" t="s">
        <v>121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f t="shared" si="8"/>
        <v>0</v>
      </c>
      <c r="AH151">
        <f t="shared" si="9"/>
        <v>30</v>
      </c>
    </row>
    <row r="152" spans="2:34" x14ac:dyDescent="0.25">
      <c r="B152" t="s">
        <v>123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f t="shared" si="8"/>
        <v>0</v>
      </c>
      <c r="AH152">
        <f t="shared" si="9"/>
        <v>30</v>
      </c>
    </row>
    <row r="153" spans="2:34" x14ac:dyDescent="0.25">
      <c r="B153" t="s">
        <v>124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f t="shared" si="8"/>
        <v>0</v>
      </c>
      <c r="AH153">
        <f t="shared" si="9"/>
        <v>30</v>
      </c>
    </row>
    <row r="154" spans="2:34" x14ac:dyDescent="0.25">
      <c r="B154" t="s">
        <v>129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f t="shared" si="8"/>
        <v>0</v>
      </c>
      <c r="AH154">
        <f t="shared" si="9"/>
        <v>30</v>
      </c>
    </row>
    <row r="155" spans="2:34" x14ac:dyDescent="0.25">
      <c r="B155" t="s">
        <v>130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f t="shared" si="8"/>
        <v>0</v>
      </c>
      <c r="AH155">
        <f t="shared" si="9"/>
        <v>30</v>
      </c>
    </row>
    <row r="156" spans="2:34" x14ac:dyDescent="0.25">
      <c r="B156" t="s">
        <v>137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f t="shared" si="8"/>
        <v>0</v>
      </c>
      <c r="AH156">
        <f t="shared" si="9"/>
        <v>30</v>
      </c>
    </row>
    <row r="157" spans="2:34" x14ac:dyDescent="0.25">
      <c r="B157" t="s">
        <v>141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f t="shared" si="8"/>
        <v>0</v>
      </c>
      <c r="AH157">
        <f t="shared" si="9"/>
        <v>30</v>
      </c>
    </row>
    <row r="158" spans="2:34" x14ac:dyDescent="0.25">
      <c r="B158" t="s">
        <v>142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f t="shared" si="8"/>
        <v>0</v>
      </c>
      <c r="AH158">
        <f t="shared" si="9"/>
        <v>30</v>
      </c>
    </row>
    <row r="159" spans="2:34" x14ac:dyDescent="0.25">
      <c r="B159" t="s">
        <v>147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f t="shared" si="8"/>
        <v>0</v>
      </c>
      <c r="AH159">
        <f t="shared" si="9"/>
        <v>30</v>
      </c>
    </row>
    <row r="160" spans="2:34" x14ac:dyDescent="0.25">
      <c r="B160" t="s">
        <v>153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f t="shared" si="8"/>
        <v>0</v>
      </c>
      <c r="AH160">
        <f t="shared" si="9"/>
        <v>30</v>
      </c>
    </row>
    <row r="161" spans="2:34" x14ac:dyDescent="0.25">
      <c r="B161" t="s">
        <v>154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f t="shared" si="8"/>
        <v>0</v>
      </c>
      <c r="AH161">
        <f t="shared" si="9"/>
        <v>30</v>
      </c>
    </row>
    <row r="162" spans="2:34" x14ac:dyDescent="0.25">
      <c r="B162" t="s">
        <v>156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f t="shared" si="8"/>
        <v>0</v>
      </c>
      <c r="AH162">
        <f t="shared" si="9"/>
        <v>30</v>
      </c>
    </row>
    <row r="163" spans="2:34" x14ac:dyDescent="0.25">
      <c r="B163" t="s">
        <v>157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f t="shared" ref="AG163:AG194" si="10">AVERAGE(C163:AF163)</f>
        <v>0</v>
      </c>
      <c r="AH163">
        <f t="shared" ref="AH163:AH194" si="11">COUNTIF(C163:AF163,"0")</f>
        <v>30</v>
      </c>
    </row>
    <row r="164" spans="2:34" x14ac:dyDescent="0.25">
      <c r="B164" t="s">
        <v>159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f t="shared" si="10"/>
        <v>0</v>
      </c>
      <c r="AH164">
        <f t="shared" si="11"/>
        <v>30</v>
      </c>
    </row>
    <row r="165" spans="2:34" x14ac:dyDescent="0.25">
      <c r="B165" t="s">
        <v>161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f t="shared" si="10"/>
        <v>0</v>
      </c>
      <c r="AH165">
        <f t="shared" si="11"/>
        <v>30</v>
      </c>
    </row>
    <row r="166" spans="2:34" x14ac:dyDescent="0.25">
      <c r="B166" t="s">
        <v>162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f t="shared" si="10"/>
        <v>0</v>
      </c>
      <c r="AH166">
        <f t="shared" si="11"/>
        <v>30</v>
      </c>
    </row>
    <row r="167" spans="2:34" x14ac:dyDescent="0.25">
      <c r="B167" t="s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f t="shared" si="10"/>
        <v>0</v>
      </c>
      <c r="AH167">
        <f t="shared" si="11"/>
        <v>30</v>
      </c>
    </row>
    <row r="168" spans="2:34" x14ac:dyDescent="0.25"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f t="shared" si="10"/>
        <v>0</v>
      </c>
      <c r="AH168">
        <f t="shared" si="11"/>
        <v>30</v>
      </c>
    </row>
    <row r="169" spans="2:34" x14ac:dyDescent="0.25"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f t="shared" si="10"/>
        <v>0</v>
      </c>
      <c r="AH169">
        <f t="shared" si="11"/>
        <v>30</v>
      </c>
    </row>
    <row r="170" spans="2:34" x14ac:dyDescent="0.25">
      <c r="B170" t="s">
        <v>171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f t="shared" si="10"/>
        <v>0</v>
      </c>
      <c r="AH170">
        <f t="shared" si="11"/>
        <v>30</v>
      </c>
    </row>
    <row r="171" spans="2:34" x14ac:dyDescent="0.25">
      <c r="B171" t="s">
        <v>175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f t="shared" si="10"/>
        <v>0</v>
      </c>
      <c r="AH171">
        <f t="shared" si="11"/>
        <v>30</v>
      </c>
    </row>
    <row r="172" spans="2:34" x14ac:dyDescent="0.25">
      <c r="B172" t="s">
        <v>178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f t="shared" si="10"/>
        <v>0</v>
      </c>
      <c r="AH172">
        <f t="shared" si="11"/>
        <v>30</v>
      </c>
    </row>
    <row r="173" spans="2:34" x14ac:dyDescent="0.25">
      <c r="B173" t="s">
        <v>180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f t="shared" si="10"/>
        <v>0</v>
      </c>
      <c r="AH173">
        <f t="shared" si="11"/>
        <v>30</v>
      </c>
    </row>
    <row r="174" spans="2:34" x14ac:dyDescent="0.25">
      <c r="B174" t="s">
        <v>184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f t="shared" si="10"/>
        <v>0</v>
      </c>
      <c r="AH174">
        <f t="shared" si="11"/>
        <v>30</v>
      </c>
    </row>
    <row r="175" spans="2:34" x14ac:dyDescent="0.25">
      <c r="B175" t="s">
        <v>186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f t="shared" si="10"/>
        <v>0</v>
      </c>
      <c r="AH175">
        <f t="shared" si="11"/>
        <v>30</v>
      </c>
    </row>
    <row r="176" spans="2:34" x14ac:dyDescent="0.25">
      <c r="B176" t="s">
        <v>187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f t="shared" si="10"/>
        <v>0</v>
      </c>
      <c r="AH176">
        <f t="shared" si="11"/>
        <v>30</v>
      </c>
    </row>
    <row r="177" spans="2:34" x14ac:dyDescent="0.25">
      <c r="B177" t="s">
        <v>191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f t="shared" si="10"/>
        <v>0</v>
      </c>
      <c r="AH177">
        <f t="shared" si="11"/>
        <v>30</v>
      </c>
    </row>
    <row r="178" spans="2:34" x14ac:dyDescent="0.25">
      <c r="B178" t="s">
        <v>196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f t="shared" si="10"/>
        <v>0</v>
      </c>
      <c r="AH178">
        <f t="shared" si="11"/>
        <v>30</v>
      </c>
    </row>
    <row r="179" spans="2:34" x14ac:dyDescent="0.25">
      <c r="B179" t="s">
        <v>197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f t="shared" si="10"/>
        <v>0</v>
      </c>
      <c r="AH179">
        <f t="shared" si="11"/>
        <v>30</v>
      </c>
    </row>
    <row r="180" spans="2:34" x14ac:dyDescent="0.25">
      <c r="B180" t="s">
        <v>198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f t="shared" si="10"/>
        <v>0</v>
      </c>
      <c r="AH180">
        <f t="shared" si="11"/>
        <v>30</v>
      </c>
    </row>
    <row r="181" spans="2:34" x14ac:dyDescent="0.25">
      <c r="B181" t="s">
        <v>199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f t="shared" si="10"/>
        <v>0</v>
      </c>
      <c r="AH181">
        <f t="shared" si="11"/>
        <v>30</v>
      </c>
    </row>
    <row r="182" spans="2:34" x14ac:dyDescent="0.25">
      <c r="B182" t="s">
        <v>200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f t="shared" si="10"/>
        <v>0</v>
      </c>
      <c r="AH182">
        <f t="shared" si="11"/>
        <v>30</v>
      </c>
    </row>
    <row r="183" spans="2:34" x14ac:dyDescent="0.25">
      <c r="B183" t="s">
        <v>201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f t="shared" si="10"/>
        <v>0</v>
      </c>
      <c r="AH183">
        <f t="shared" si="11"/>
        <v>30</v>
      </c>
    </row>
    <row r="184" spans="2:34" x14ac:dyDescent="0.25">
      <c r="B184" t="s">
        <v>202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f t="shared" si="10"/>
        <v>0</v>
      </c>
      <c r="AH184">
        <f t="shared" si="11"/>
        <v>30</v>
      </c>
    </row>
    <row r="185" spans="2:34" x14ac:dyDescent="0.25">
      <c r="B185" t="s">
        <v>204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f t="shared" si="10"/>
        <v>0</v>
      </c>
      <c r="AH185">
        <f t="shared" si="11"/>
        <v>30</v>
      </c>
    </row>
    <row r="186" spans="2:34" x14ac:dyDescent="0.25">
      <c r="B186" t="s">
        <v>206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f t="shared" si="10"/>
        <v>0</v>
      </c>
      <c r="AH186">
        <f t="shared" si="11"/>
        <v>30</v>
      </c>
    </row>
    <row r="187" spans="2:34" x14ac:dyDescent="0.25">
      <c r="B187" t="s">
        <v>207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f t="shared" si="10"/>
        <v>0</v>
      </c>
      <c r="AH187">
        <f t="shared" si="11"/>
        <v>30</v>
      </c>
    </row>
    <row r="188" spans="2:34" x14ac:dyDescent="0.25">
      <c r="B188" t="s">
        <v>208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f t="shared" si="10"/>
        <v>0</v>
      </c>
      <c r="AH188">
        <f t="shared" si="11"/>
        <v>30</v>
      </c>
    </row>
    <row r="189" spans="2:34" x14ac:dyDescent="0.25">
      <c r="B189" t="s">
        <v>209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f t="shared" si="10"/>
        <v>0</v>
      </c>
      <c r="AH189">
        <f t="shared" si="11"/>
        <v>30</v>
      </c>
    </row>
    <row r="190" spans="2:34" x14ac:dyDescent="0.25">
      <c r="B190" t="s">
        <v>212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f t="shared" si="10"/>
        <v>0</v>
      </c>
      <c r="AH190">
        <f t="shared" si="11"/>
        <v>30</v>
      </c>
    </row>
    <row r="191" spans="2:34" x14ac:dyDescent="0.25">
      <c r="B191" t="s">
        <v>215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f t="shared" si="10"/>
        <v>0</v>
      </c>
      <c r="AH191">
        <f t="shared" si="11"/>
        <v>30</v>
      </c>
    </row>
    <row r="192" spans="2:34" x14ac:dyDescent="0.25">
      <c r="B192" t="s">
        <v>217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f t="shared" si="10"/>
        <v>0</v>
      </c>
      <c r="AH192">
        <f t="shared" si="11"/>
        <v>30</v>
      </c>
    </row>
    <row r="193" spans="2:34" x14ac:dyDescent="0.25">
      <c r="B193" t="s">
        <v>220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f t="shared" si="10"/>
        <v>0</v>
      </c>
      <c r="AH193">
        <f t="shared" si="11"/>
        <v>30</v>
      </c>
    </row>
    <row r="194" spans="2:34" x14ac:dyDescent="0.25">
      <c r="B194" t="s">
        <v>221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f t="shared" si="10"/>
        <v>0</v>
      </c>
      <c r="AH194">
        <f t="shared" si="11"/>
        <v>30</v>
      </c>
    </row>
  </sheetData>
  <autoFilter ref="B2:AH2" xr:uid="{1EAF8C88-E3F2-4491-BBCD-97B8F5869A05}">
    <sortState xmlns:xlrd2="http://schemas.microsoft.com/office/spreadsheetml/2017/richdata2" ref="B3:AH195">
      <sortCondition ref="AH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21F5-1210-4B85-979E-B57A6A263FAE}">
  <dimension ref="B2:AI193"/>
  <sheetViews>
    <sheetView workbookViewId="0">
      <selection activeCell="B30" sqref="B30"/>
    </sheetView>
  </sheetViews>
  <sheetFormatPr defaultRowHeight="15" x14ac:dyDescent="0.25"/>
  <cols>
    <col min="2" max="2" width="65" bestFit="1" customWidth="1"/>
    <col min="3" max="33" width="24.28515625" bestFit="1" customWidth="1"/>
    <col min="34" max="34" width="21.140625" bestFit="1" customWidth="1"/>
    <col min="35" max="35" width="23.42578125" bestFit="1" customWidth="1"/>
  </cols>
  <sheetData>
    <row r="2" spans="2:35" x14ac:dyDescent="0.25">
      <c r="B2" t="s">
        <v>225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  <c r="H2" t="s">
        <v>316</v>
      </c>
      <c r="I2" t="s">
        <v>317</v>
      </c>
      <c r="J2" t="s">
        <v>318</v>
      </c>
      <c r="K2" t="s">
        <v>319</v>
      </c>
      <c r="L2" t="s">
        <v>320</v>
      </c>
      <c r="M2" t="s">
        <v>321</v>
      </c>
      <c r="N2" t="s">
        <v>322</v>
      </c>
      <c r="O2" t="s">
        <v>323</v>
      </c>
      <c r="P2" t="s">
        <v>324</v>
      </c>
      <c r="Q2" t="s">
        <v>325</v>
      </c>
      <c r="R2" t="s">
        <v>326</v>
      </c>
      <c r="S2" t="s">
        <v>327</v>
      </c>
      <c r="T2" t="s">
        <v>328</v>
      </c>
      <c r="U2" t="s">
        <v>329</v>
      </c>
      <c r="V2" t="s">
        <v>330</v>
      </c>
      <c r="W2" t="s">
        <v>331</v>
      </c>
      <c r="X2" t="s">
        <v>332</v>
      </c>
      <c r="Y2" t="s">
        <v>333</v>
      </c>
      <c r="Z2" t="s">
        <v>334</v>
      </c>
      <c r="AA2" t="s">
        <v>335</v>
      </c>
      <c r="AB2" t="s">
        <v>336</v>
      </c>
      <c r="AC2" t="s">
        <v>337</v>
      </c>
      <c r="AD2" t="s">
        <v>338</v>
      </c>
      <c r="AE2" t="s">
        <v>339</v>
      </c>
      <c r="AF2" t="s">
        <v>340</v>
      </c>
      <c r="AG2" t="s">
        <v>341</v>
      </c>
      <c r="AH2" t="s">
        <v>224</v>
      </c>
      <c r="AI2" t="s">
        <v>226</v>
      </c>
    </row>
    <row r="3" spans="2:35" x14ac:dyDescent="0.25">
      <c r="B3" s="1" t="s">
        <v>32</v>
      </c>
      <c r="C3">
        <v>9</v>
      </c>
      <c r="D3">
        <v>29</v>
      </c>
      <c r="E3">
        <v>8</v>
      </c>
      <c r="F3">
        <v>9</v>
      </c>
      <c r="G3">
        <v>13</v>
      </c>
      <c r="H3">
        <v>12</v>
      </c>
      <c r="I3">
        <v>17</v>
      </c>
      <c r="J3">
        <v>16</v>
      </c>
      <c r="K3">
        <v>14</v>
      </c>
      <c r="L3">
        <v>10</v>
      </c>
      <c r="M3">
        <v>8</v>
      </c>
      <c r="N3">
        <v>9</v>
      </c>
      <c r="O3">
        <v>20</v>
      </c>
      <c r="P3">
        <v>17</v>
      </c>
      <c r="Q3">
        <v>15</v>
      </c>
      <c r="R3">
        <v>8</v>
      </c>
      <c r="S3">
        <v>9</v>
      </c>
      <c r="T3">
        <v>15</v>
      </c>
      <c r="U3">
        <v>8</v>
      </c>
      <c r="V3">
        <v>16</v>
      </c>
      <c r="W3">
        <v>24</v>
      </c>
      <c r="X3">
        <v>17</v>
      </c>
      <c r="Y3">
        <v>53</v>
      </c>
      <c r="Z3">
        <v>8</v>
      </c>
      <c r="AA3">
        <v>9</v>
      </c>
      <c r="AB3">
        <v>58</v>
      </c>
      <c r="AC3">
        <v>10</v>
      </c>
      <c r="AD3">
        <v>9</v>
      </c>
      <c r="AE3">
        <v>9</v>
      </c>
      <c r="AF3">
        <v>8</v>
      </c>
      <c r="AG3">
        <v>17</v>
      </c>
      <c r="AH3">
        <f t="shared" ref="AH3:AH33" si="0">AVERAGE(C3:AG3)</f>
        <v>15.612903225806452</v>
      </c>
      <c r="AI3">
        <f t="shared" ref="AI3:AI33" si="1">COUNTIF(C3:AG3,"0")</f>
        <v>0</v>
      </c>
    </row>
    <row r="4" spans="2:35" x14ac:dyDescent="0.25">
      <c r="B4" s="1" t="s">
        <v>33</v>
      </c>
      <c r="C4">
        <v>13595</v>
      </c>
      <c r="D4">
        <v>24883</v>
      </c>
      <c r="E4">
        <v>11799</v>
      </c>
      <c r="F4">
        <v>13058</v>
      </c>
      <c r="G4">
        <v>22561</v>
      </c>
      <c r="H4">
        <v>16955</v>
      </c>
      <c r="I4">
        <v>18477</v>
      </c>
      <c r="J4">
        <v>17469</v>
      </c>
      <c r="K4">
        <v>16580</v>
      </c>
      <c r="L4">
        <v>11787</v>
      </c>
      <c r="M4">
        <v>8238</v>
      </c>
      <c r="N4">
        <v>9615</v>
      </c>
      <c r="O4">
        <v>12153</v>
      </c>
      <c r="P4">
        <v>23981</v>
      </c>
      <c r="Q4">
        <v>19199</v>
      </c>
      <c r="R4">
        <v>11724</v>
      </c>
      <c r="S4">
        <v>10288</v>
      </c>
      <c r="T4">
        <v>9953</v>
      </c>
      <c r="U4">
        <v>12223</v>
      </c>
      <c r="V4">
        <v>11651</v>
      </c>
      <c r="W4">
        <v>18536</v>
      </c>
      <c r="X4">
        <v>11871</v>
      </c>
      <c r="Y4">
        <v>8408</v>
      </c>
      <c r="Z4">
        <v>7778</v>
      </c>
      <c r="AA4">
        <v>7415</v>
      </c>
      <c r="AB4">
        <v>9433</v>
      </c>
      <c r="AC4">
        <v>8406</v>
      </c>
      <c r="AD4">
        <v>8501</v>
      </c>
      <c r="AE4">
        <v>9538</v>
      </c>
      <c r="AF4">
        <v>7212</v>
      </c>
      <c r="AG4">
        <v>8096</v>
      </c>
      <c r="AH4">
        <f t="shared" si="0"/>
        <v>12947.838709677419</v>
      </c>
      <c r="AI4">
        <f t="shared" si="1"/>
        <v>0</v>
      </c>
    </row>
    <row r="5" spans="2:35" x14ac:dyDescent="0.25">
      <c r="B5" s="1" t="s">
        <v>35</v>
      </c>
      <c r="C5">
        <v>6753</v>
      </c>
      <c r="D5">
        <v>6800</v>
      </c>
      <c r="E5">
        <v>6816</v>
      </c>
      <c r="F5">
        <v>6751</v>
      </c>
      <c r="G5">
        <v>5228</v>
      </c>
      <c r="H5">
        <v>4623</v>
      </c>
      <c r="I5">
        <v>5560</v>
      </c>
      <c r="J5">
        <v>7019</v>
      </c>
      <c r="K5">
        <v>6964</v>
      </c>
      <c r="L5">
        <v>6684</v>
      </c>
      <c r="M5">
        <v>6973</v>
      </c>
      <c r="N5">
        <v>6854</v>
      </c>
      <c r="O5">
        <v>6775</v>
      </c>
      <c r="P5">
        <v>6716</v>
      </c>
      <c r="Q5">
        <v>6045</v>
      </c>
      <c r="R5">
        <v>6679</v>
      </c>
      <c r="S5">
        <v>6667</v>
      </c>
      <c r="T5">
        <v>6680</v>
      </c>
      <c r="U5">
        <v>6745</v>
      </c>
      <c r="V5">
        <v>6751</v>
      </c>
      <c r="W5">
        <v>6749</v>
      </c>
      <c r="X5">
        <v>6751</v>
      </c>
      <c r="Y5">
        <v>6742</v>
      </c>
      <c r="Z5">
        <v>6755</v>
      </c>
      <c r="AA5">
        <v>6726</v>
      </c>
      <c r="AB5">
        <v>6804</v>
      </c>
      <c r="AC5">
        <v>6794</v>
      </c>
      <c r="AD5">
        <v>6760</v>
      </c>
      <c r="AE5">
        <v>6751</v>
      </c>
      <c r="AF5">
        <v>6747</v>
      </c>
      <c r="AG5">
        <v>6754</v>
      </c>
      <c r="AH5">
        <f t="shared" si="0"/>
        <v>6594.0645161290322</v>
      </c>
      <c r="AI5">
        <f t="shared" si="1"/>
        <v>0</v>
      </c>
    </row>
    <row r="6" spans="2:35" x14ac:dyDescent="0.25">
      <c r="B6" s="1" t="s">
        <v>51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4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3</v>
      </c>
      <c r="V6">
        <v>2</v>
      </c>
      <c r="W6">
        <v>3</v>
      </c>
      <c r="X6">
        <v>2</v>
      </c>
      <c r="Y6">
        <v>3</v>
      </c>
      <c r="Z6">
        <v>2</v>
      </c>
      <c r="AA6">
        <v>2</v>
      </c>
      <c r="AB6">
        <v>2</v>
      </c>
      <c r="AC6">
        <v>2</v>
      </c>
      <c r="AD6">
        <v>3</v>
      </c>
      <c r="AE6">
        <v>2</v>
      </c>
      <c r="AF6">
        <v>2</v>
      </c>
      <c r="AG6">
        <v>2</v>
      </c>
      <c r="AH6">
        <f t="shared" si="0"/>
        <v>2.2580645161290325</v>
      </c>
      <c r="AI6">
        <f t="shared" si="1"/>
        <v>0</v>
      </c>
    </row>
    <row r="7" spans="2:35" x14ac:dyDescent="0.25">
      <c r="B7" s="1" t="s">
        <v>57</v>
      </c>
      <c r="C7">
        <v>295</v>
      </c>
      <c r="D7">
        <v>312</v>
      </c>
      <c r="E7">
        <v>314</v>
      </c>
      <c r="F7">
        <v>274</v>
      </c>
      <c r="G7">
        <v>379</v>
      </c>
      <c r="H7">
        <v>300</v>
      </c>
      <c r="I7">
        <v>317</v>
      </c>
      <c r="J7">
        <v>324</v>
      </c>
      <c r="K7">
        <v>316</v>
      </c>
      <c r="L7">
        <v>291</v>
      </c>
      <c r="M7">
        <v>394</v>
      </c>
      <c r="N7">
        <v>290</v>
      </c>
      <c r="O7">
        <v>302</v>
      </c>
      <c r="P7">
        <v>351</v>
      </c>
      <c r="Q7">
        <v>420</v>
      </c>
      <c r="R7">
        <v>324</v>
      </c>
      <c r="S7">
        <v>295</v>
      </c>
      <c r="T7">
        <v>314</v>
      </c>
      <c r="U7">
        <v>375</v>
      </c>
      <c r="V7">
        <v>325</v>
      </c>
      <c r="W7">
        <v>283</v>
      </c>
      <c r="X7">
        <v>319</v>
      </c>
      <c r="Y7">
        <v>337</v>
      </c>
      <c r="Z7">
        <v>326</v>
      </c>
      <c r="AA7">
        <v>314</v>
      </c>
      <c r="AB7">
        <v>325</v>
      </c>
      <c r="AC7">
        <v>306</v>
      </c>
      <c r="AD7">
        <v>302</v>
      </c>
      <c r="AE7">
        <v>322</v>
      </c>
      <c r="AF7">
        <v>337</v>
      </c>
      <c r="AG7">
        <v>348</v>
      </c>
      <c r="AH7">
        <f t="shared" si="0"/>
        <v>323.58064516129031</v>
      </c>
      <c r="AI7">
        <f t="shared" si="1"/>
        <v>0</v>
      </c>
    </row>
    <row r="8" spans="2:35" x14ac:dyDescent="0.25">
      <c r="B8" s="1" t="s">
        <v>66</v>
      </c>
      <c r="C8">
        <v>56</v>
      </c>
      <c r="D8">
        <v>75</v>
      </c>
      <c r="E8">
        <v>32</v>
      </c>
      <c r="F8">
        <v>29</v>
      </c>
      <c r="G8">
        <v>105</v>
      </c>
      <c r="H8">
        <v>127</v>
      </c>
      <c r="I8">
        <v>85</v>
      </c>
      <c r="J8">
        <v>121</v>
      </c>
      <c r="K8">
        <v>148</v>
      </c>
      <c r="L8">
        <v>43</v>
      </c>
      <c r="M8">
        <v>50</v>
      </c>
      <c r="N8">
        <v>45</v>
      </c>
      <c r="O8">
        <v>78</v>
      </c>
      <c r="P8">
        <v>143</v>
      </c>
      <c r="Q8">
        <v>76</v>
      </c>
      <c r="R8">
        <v>88</v>
      </c>
      <c r="S8">
        <v>39</v>
      </c>
      <c r="T8">
        <v>27</v>
      </c>
      <c r="U8">
        <v>98</v>
      </c>
      <c r="V8">
        <v>117</v>
      </c>
      <c r="W8">
        <v>113</v>
      </c>
      <c r="X8">
        <v>140</v>
      </c>
      <c r="Y8">
        <v>64</v>
      </c>
      <c r="Z8">
        <v>40</v>
      </c>
      <c r="AA8">
        <v>39</v>
      </c>
      <c r="AB8">
        <v>114</v>
      </c>
      <c r="AC8">
        <v>113</v>
      </c>
      <c r="AD8">
        <v>67</v>
      </c>
      <c r="AE8">
        <v>40</v>
      </c>
      <c r="AF8">
        <v>8</v>
      </c>
      <c r="AG8">
        <v>17</v>
      </c>
      <c r="AH8">
        <f t="shared" si="0"/>
        <v>75.387096774193552</v>
      </c>
      <c r="AI8">
        <f t="shared" si="1"/>
        <v>0</v>
      </c>
    </row>
    <row r="9" spans="2:35" x14ac:dyDescent="0.25">
      <c r="B9" s="1" t="s">
        <v>125</v>
      </c>
      <c r="C9">
        <v>920</v>
      </c>
      <c r="D9">
        <v>878</v>
      </c>
      <c r="E9">
        <v>1133</v>
      </c>
      <c r="F9">
        <v>1734</v>
      </c>
      <c r="G9">
        <v>1523</v>
      </c>
      <c r="H9">
        <v>1696</v>
      </c>
      <c r="I9">
        <v>1919</v>
      </c>
      <c r="J9">
        <v>2578</v>
      </c>
      <c r="K9">
        <v>2788</v>
      </c>
      <c r="L9">
        <v>2937</v>
      </c>
      <c r="M9">
        <v>3342</v>
      </c>
      <c r="N9">
        <v>2829</v>
      </c>
      <c r="O9">
        <v>2986</v>
      </c>
      <c r="P9">
        <v>2952</v>
      </c>
      <c r="Q9">
        <v>2846</v>
      </c>
      <c r="R9">
        <v>2916</v>
      </c>
      <c r="S9">
        <v>2984</v>
      </c>
      <c r="T9">
        <v>2963</v>
      </c>
      <c r="U9">
        <v>3054</v>
      </c>
      <c r="V9">
        <v>3118</v>
      </c>
      <c r="W9">
        <v>2881</v>
      </c>
      <c r="X9">
        <v>2925</v>
      </c>
      <c r="Y9">
        <v>2449</v>
      </c>
      <c r="Z9">
        <v>2981</v>
      </c>
      <c r="AA9">
        <v>288</v>
      </c>
      <c r="AB9">
        <v>2158</v>
      </c>
      <c r="AC9">
        <v>2376</v>
      </c>
      <c r="AD9">
        <v>2927</v>
      </c>
      <c r="AE9">
        <v>2462</v>
      </c>
      <c r="AF9">
        <v>2439</v>
      </c>
      <c r="AG9">
        <v>2626</v>
      </c>
      <c r="AH9">
        <f t="shared" si="0"/>
        <v>2406.7096774193546</v>
      </c>
      <c r="AI9">
        <f t="shared" si="1"/>
        <v>0</v>
      </c>
    </row>
    <row r="10" spans="2:35" x14ac:dyDescent="0.25">
      <c r="B10" s="1" t="s">
        <v>143</v>
      </c>
      <c r="C10">
        <v>65</v>
      </c>
      <c r="D10">
        <v>198</v>
      </c>
      <c r="E10">
        <v>63</v>
      </c>
      <c r="F10">
        <v>54</v>
      </c>
      <c r="G10">
        <v>381</v>
      </c>
      <c r="H10">
        <v>157</v>
      </c>
      <c r="I10">
        <v>117</v>
      </c>
      <c r="J10">
        <v>139</v>
      </c>
      <c r="K10">
        <v>198</v>
      </c>
      <c r="L10">
        <v>77</v>
      </c>
      <c r="M10">
        <v>42</v>
      </c>
      <c r="N10">
        <v>3057</v>
      </c>
      <c r="O10">
        <v>62</v>
      </c>
      <c r="P10">
        <v>7519</v>
      </c>
      <c r="Q10">
        <v>19585</v>
      </c>
      <c r="R10">
        <v>1720</v>
      </c>
      <c r="S10">
        <v>56</v>
      </c>
      <c r="T10">
        <v>52</v>
      </c>
      <c r="U10">
        <v>242</v>
      </c>
      <c r="V10">
        <v>463</v>
      </c>
      <c r="W10">
        <v>241</v>
      </c>
      <c r="X10">
        <v>195</v>
      </c>
      <c r="Y10">
        <v>117</v>
      </c>
      <c r="Z10">
        <v>46</v>
      </c>
      <c r="AA10">
        <v>2076</v>
      </c>
      <c r="AB10">
        <v>3655</v>
      </c>
      <c r="AC10">
        <v>143</v>
      </c>
      <c r="AD10">
        <v>176</v>
      </c>
      <c r="AE10">
        <v>62</v>
      </c>
      <c r="AF10">
        <v>58</v>
      </c>
      <c r="AG10">
        <v>47</v>
      </c>
      <c r="AH10">
        <f t="shared" si="0"/>
        <v>1324.6129032258063</v>
      </c>
      <c r="AI10">
        <f t="shared" si="1"/>
        <v>0</v>
      </c>
    </row>
    <row r="11" spans="2:35" x14ac:dyDescent="0.25">
      <c r="B11" s="1" t="s">
        <v>152</v>
      </c>
      <c r="C11">
        <v>50</v>
      </c>
      <c r="D11">
        <v>50</v>
      </c>
      <c r="E11">
        <v>46</v>
      </c>
      <c r="F11">
        <v>50</v>
      </c>
      <c r="G11">
        <v>44</v>
      </c>
      <c r="H11">
        <v>48</v>
      </c>
      <c r="I11">
        <v>48</v>
      </c>
      <c r="J11">
        <v>48</v>
      </c>
      <c r="K11">
        <v>56</v>
      </c>
      <c r="L11">
        <v>44</v>
      </c>
      <c r="M11">
        <v>57</v>
      </c>
      <c r="N11">
        <v>49</v>
      </c>
      <c r="O11">
        <v>46</v>
      </c>
      <c r="P11">
        <v>48</v>
      </c>
      <c r="Q11">
        <v>46</v>
      </c>
      <c r="R11">
        <v>48</v>
      </c>
      <c r="S11">
        <v>50</v>
      </c>
      <c r="T11">
        <v>44</v>
      </c>
      <c r="U11">
        <v>42</v>
      </c>
      <c r="V11">
        <v>48</v>
      </c>
      <c r="W11">
        <v>48</v>
      </c>
      <c r="X11">
        <v>46</v>
      </c>
      <c r="Y11">
        <v>46</v>
      </c>
      <c r="Z11">
        <v>50</v>
      </c>
      <c r="AA11">
        <v>48</v>
      </c>
      <c r="AB11">
        <v>48</v>
      </c>
      <c r="AC11">
        <v>46</v>
      </c>
      <c r="AD11">
        <v>50</v>
      </c>
      <c r="AE11">
        <v>48</v>
      </c>
      <c r="AF11">
        <v>48</v>
      </c>
      <c r="AG11">
        <v>47</v>
      </c>
      <c r="AH11">
        <f t="shared" si="0"/>
        <v>47.967741935483872</v>
      </c>
      <c r="AI11">
        <f t="shared" si="1"/>
        <v>0</v>
      </c>
    </row>
    <row r="12" spans="2:35" x14ac:dyDescent="0.25">
      <c r="B12" s="1" t="s">
        <v>203</v>
      </c>
      <c r="C12">
        <v>11</v>
      </c>
      <c r="D12">
        <v>31</v>
      </c>
      <c r="E12">
        <v>12</v>
      </c>
      <c r="F12">
        <v>19</v>
      </c>
      <c r="G12">
        <v>32</v>
      </c>
      <c r="H12">
        <v>19</v>
      </c>
      <c r="I12">
        <v>23</v>
      </c>
      <c r="J12">
        <v>46</v>
      </c>
      <c r="K12">
        <v>6</v>
      </c>
      <c r="L12">
        <v>21</v>
      </c>
      <c r="M12">
        <v>10</v>
      </c>
      <c r="N12">
        <v>24</v>
      </c>
      <c r="O12">
        <v>21</v>
      </c>
      <c r="P12">
        <v>15</v>
      </c>
      <c r="Q12">
        <v>16</v>
      </c>
      <c r="R12">
        <v>12</v>
      </c>
      <c r="S12">
        <v>14</v>
      </c>
      <c r="T12">
        <v>9</v>
      </c>
      <c r="U12">
        <v>16</v>
      </c>
      <c r="V12">
        <v>25</v>
      </c>
      <c r="W12">
        <v>30</v>
      </c>
      <c r="X12">
        <v>19</v>
      </c>
      <c r="Y12">
        <v>23</v>
      </c>
      <c r="Z12">
        <v>6</v>
      </c>
      <c r="AA12">
        <v>13</v>
      </c>
      <c r="AB12">
        <v>29</v>
      </c>
      <c r="AC12">
        <v>11</v>
      </c>
      <c r="AD12">
        <v>14</v>
      </c>
      <c r="AE12">
        <v>33</v>
      </c>
      <c r="AF12">
        <v>9</v>
      </c>
      <c r="AG12">
        <v>13</v>
      </c>
      <c r="AH12">
        <f t="shared" si="0"/>
        <v>18.774193548387096</v>
      </c>
      <c r="AI12">
        <f t="shared" si="1"/>
        <v>0</v>
      </c>
    </row>
    <row r="13" spans="2:35" x14ac:dyDescent="0.25">
      <c r="B13" s="1" t="s">
        <v>216</v>
      </c>
      <c r="C13">
        <v>1061</v>
      </c>
      <c r="D13">
        <v>1120</v>
      </c>
      <c r="E13">
        <v>957</v>
      </c>
      <c r="F13">
        <v>1079</v>
      </c>
      <c r="G13">
        <v>1116</v>
      </c>
      <c r="H13">
        <v>1090</v>
      </c>
      <c r="I13">
        <v>1029</v>
      </c>
      <c r="J13">
        <v>1052</v>
      </c>
      <c r="K13">
        <v>1019</v>
      </c>
      <c r="L13">
        <v>981</v>
      </c>
      <c r="M13">
        <v>1126</v>
      </c>
      <c r="N13">
        <v>988</v>
      </c>
      <c r="O13">
        <v>945</v>
      </c>
      <c r="P13">
        <v>1010</v>
      </c>
      <c r="Q13">
        <v>1008</v>
      </c>
      <c r="R13">
        <v>949</v>
      </c>
      <c r="S13">
        <v>924</v>
      </c>
      <c r="T13">
        <v>980</v>
      </c>
      <c r="U13">
        <v>1339</v>
      </c>
      <c r="V13">
        <v>1411</v>
      </c>
      <c r="W13">
        <v>1307</v>
      </c>
      <c r="X13">
        <v>1041</v>
      </c>
      <c r="Y13">
        <v>677</v>
      </c>
      <c r="Z13">
        <v>757</v>
      </c>
      <c r="AA13">
        <v>980</v>
      </c>
      <c r="AB13">
        <v>1377</v>
      </c>
      <c r="AC13">
        <v>1674</v>
      </c>
      <c r="AD13">
        <v>1554</v>
      </c>
      <c r="AE13">
        <v>1072</v>
      </c>
      <c r="AF13">
        <v>988</v>
      </c>
      <c r="AG13">
        <v>704</v>
      </c>
      <c r="AH13">
        <f t="shared" si="0"/>
        <v>1074.6774193548388</v>
      </c>
      <c r="AI13">
        <f t="shared" si="1"/>
        <v>0</v>
      </c>
    </row>
    <row r="14" spans="2:35" x14ac:dyDescent="0.25">
      <c r="B14" s="1" t="s">
        <v>218</v>
      </c>
      <c r="C14">
        <v>5976</v>
      </c>
      <c r="D14">
        <v>5990</v>
      </c>
      <c r="E14">
        <v>5447</v>
      </c>
      <c r="F14">
        <v>5815</v>
      </c>
      <c r="G14">
        <v>5939</v>
      </c>
      <c r="H14">
        <v>5790</v>
      </c>
      <c r="I14">
        <v>5623</v>
      </c>
      <c r="J14">
        <v>5042</v>
      </c>
      <c r="K14">
        <v>5710</v>
      </c>
      <c r="L14">
        <v>5907</v>
      </c>
      <c r="M14">
        <v>6692</v>
      </c>
      <c r="N14">
        <v>5659</v>
      </c>
      <c r="O14">
        <v>5814</v>
      </c>
      <c r="P14">
        <v>5819</v>
      </c>
      <c r="Q14">
        <v>5493</v>
      </c>
      <c r="R14">
        <v>5787</v>
      </c>
      <c r="S14">
        <v>5830</v>
      </c>
      <c r="T14">
        <v>5351</v>
      </c>
      <c r="U14">
        <v>5784</v>
      </c>
      <c r="V14">
        <v>5756</v>
      </c>
      <c r="W14">
        <v>5791</v>
      </c>
      <c r="X14">
        <v>5805</v>
      </c>
      <c r="Y14">
        <v>5806</v>
      </c>
      <c r="Z14">
        <v>5894</v>
      </c>
      <c r="AA14">
        <v>5736</v>
      </c>
      <c r="AB14">
        <v>5759</v>
      </c>
      <c r="AC14">
        <v>5780</v>
      </c>
      <c r="AD14">
        <v>5839</v>
      </c>
      <c r="AE14">
        <v>5427</v>
      </c>
      <c r="AF14">
        <v>5800</v>
      </c>
      <c r="AG14">
        <v>5687</v>
      </c>
      <c r="AH14">
        <f t="shared" si="0"/>
        <v>5759.6129032258068</v>
      </c>
      <c r="AI14">
        <f t="shared" si="1"/>
        <v>0</v>
      </c>
    </row>
    <row r="15" spans="2:35" x14ac:dyDescent="0.25">
      <c r="B15" s="1" t="s">
        <v>52</v>
      </c>
      <c r="C15">
        <v>3</v>
      </c>
      <c r="D15">
        <v>55</v>
      </c>
      <c r="E15">
        <v>17</v>
      </c>
      <c r="F15">
        <v>0</v>
      </c>
      <c r="G15">
        <v>82</v>
      </c>
      <c r="H15">
        <v>64</v>
      </c>
      <c r="I15">
        <v>89</v>
      </c>
      <c r="J15">
        <v>63</v>
      </c>
      <c r="K15">
        <v>65</v>
      </c>
      <c r="L15">
        <v>27</v>
      </c>
      <c r="M15">
        <v>2</v>
      </c>
      <c r="N15">
        <v>4</v>
      </c>
      <c r="O15">
        <v>18</v>
      </c>
      <c r="P15">
        <v>76</v>
      </c>
      <c r="Q15">
        <v>60</v>
      </c>
      <c r="R15">
        <v>56</v>
      </c>
      <c r="S15">
        <v>30</v>
      </c>
      <c r="T15">
        <v>6</v>
      </c>
      <c r="U15">
        <v>64</v>
      </c>
      <c r="V15">
        <v>80</v>
      </c>
      <c r="W15">
        <v>80</v>
      </c>
      <c r="X15">
        <v>97</v>
      </c>
      <c r="Y15">
        <v>98</v>
      </c>
      <c r="Z15">
        <v>19</v>
      </c>
      <c r="AA15">
        <v>3</v>
      </c>
      <c r="AB15">
        <v>70</v>
      </c>
      <c r="AC15">
        <v>82</v>
      </c>
      <c r="AD15">
        <v>75</v>
      </c>
      <c r="AE15">
        <v>3</v>
      </c>
      <c r="AF15">
        <v>9</v>
      </c>
      <c r="AG15">
        <v>26</v>
      </c>
      <c r="AH15">
        <f t="shared" si="0"/>
        <v>45.903225806451616</v>
      </c>
      <c r="AI15">
        <f t="shared" si="1"/>
        <v>1</v>
      </c>
    </row>
    <row r="16" spans="2:35" x14ac:dyDescent="0.25">
      <c r="B16" s="1" t="s">
        <v>72</v>
      </c>
      <c r="C16">
        <v>11</v>
      </c>
      <c r="D16">
        <v>104</v>
      </c>
      <c r="E16">
        <v>25</v>
      </c>
      <c r="F16">
        <v>11</v>
      </c>
      <c r="G16">
        <v>122</v>
      </c>
      <c r="H16">
        <v>121</v>
      </c>
      <c r="I16">
        <v>69</v>
      </c>
      <c r="J16">
        <v>94</v>
      </c>
      <c r="K16">
        <v>111</v>
      </c>
      <c r="L16">
        <v>40</v>
      </c>
      <c r="M16">
        <v>2</v>
      </c>
      <c r="N16">
        <v>4</v>
      </c>
      <c r="O16">
        <v>63</v>
      </c>
      <c r="P16">
        <v>86</v>
      </c>
      <c r="Q16">
        <v>125</v>
      </c>
      <c r="R16">
        <v>94</v>
      </c>
      <c r="S16">
        <v>29</v>
      </c>
      <c r="T16">
        <v>0</v>
      </c>
      <c r="U16">
        <v>93</v>
      </c>
      <c r="V16">
        <v>57</v>
      </c>
      <c r="W16">
        <v>157</v>
      </c>
      <c r="X16">
        <v>115</v>
      </c>
      <c r="Y16">
        <v>113</v>
      </c>
      <c r="Z16">
        <v>48</v>
      </c>
      <c r="AA16">
        <v>2</v>
      </c>
      <c r="AB16">
        <v>75</v>
      </c>
      <c r="AC16">
        <v>81</v>
      </c>
      <c r="AD16">
        <v>82</v>
      </c>
      <c r="AE16">
        <v>4</v>
      </c>
      <c r="AF16">
        <v>37</v>
      </c>
      <c r="AG16">
        <v>25</v>
      </c>
      <c r="AH16">
        <f t="shared" si="0"/>
        <v>64.516129032258064</v>
      </c>
      <c r="AI16">
        <f t="shared" si="1"/>
        <v>1</v>
      </c>
    </row>
    <row r="17" spans="2:35" x14ac:dyDescent="0.25">
      <c r="B17" s="1" t="s">
        <v>163</v>
      </c>
      <c r="C17">
        <v>12</v>
      </c>
      <c r="D17">
        <v>64</v>
      </c>
      <c r="E17">
        <v>4</v>
      </c>
      <c r="F17">
        <v>2</v>
      </c>
      <c r="G17">
        <v>76</v>
      </c>
      <c r="H17">
        <v>72</v>
      </c>
      <c r="I17">
        <v>127</v>
      </c>
      <c r="J17">
        <v>137</v>
      </c>
      <c r="K17">
        <v>53</v>
      </c>
      <c r="L17">
        <v>9</v>
      </c>
      <c r="M17">
        <v>13</v>
      </c>
      <c r="N17">
        <v>5</v>
      </c>
      <c r="O17">
        <v>10</v>
      </c>
      <c r="P17">
        <v>75</v>
      </c>
      <c r="Q17">
        <v>70</v>
      </c>
      <c r="R17">
        <v>47</v>
      </c>
      <c r="S17">
        <v>3</v>
      </c>
      <c r="T17">
        <v>17</v>
      </c>
      <c r="U17">
        <v>82</v>
      </c>
      <c r="V17">
        <v>45</v>
      </c>
      <c r="W17">
        <v>100</v>
      </c>
      <c r="X17">
        <v>96</v>
      </c>
      <c r="Y17">
        <v>73</v>
      </c>
      <c r="Z17">
        <v>9</v>
      </c>
      <c r="AA17">
        <v>7</v>
      </c>
      <c r="AB17">
        <v>120</v>
      </c>
      <c r="AC17">
        <v>85</v>
      </c>
      <c r="AD17">
        <v>78</v>
      </c>
      <c r="AE17">
        <v>0</v>
      </c>
      <c r="AF17">
        <v>4</v>
      </c>
      <c r="AG17">
        <v>4</v>
      </c>
      <c r="AH17">
        <f t="shared" si="0"/>
        <v>48.354838709677416</v>
      </c>
      <c r="AI17">
        <f t="shared" si="1"/>
        <v>1</v>
      </c>
    </row>
    <row r="18" spans="2:35" x14ac:dyDescent="0.25">
      <c r="B18" s="1" t="s">
        <v>174</v>
      </c>
      <c r="C18">
        <v>7</v>
      </c>
      <c r="D18">
        <v>103</v>
      </c>
      <c r="E18">
        <v>20</v>
      </c>
      <c r="F18">
        <v>10</v>
      </c>
      <c r="G18">
        <v>112</v>
      </c>
      <c r="H18">
        <v>107</v>
      </c>
      <c r="I18">
        <v>103</v>
      </c>
      <c r="J18">
        <v>115</v>
      </c>
      <c r="K18">
        <v>95</v>
      </c>
      <c r="L18">
        <v>8</v>
      </c>
      <c r="M18">
        <v>0</v>
      </c>
      <c r="N18">
        <v>5</v>
      </c>
      <c r="O18">
        <v>13</v>
      </c>
      <c r="P18">
        <v>109</v>
      </c>
      <c r="Q18">
        <v>122</v>
      </c>
      <c r="R18">
        <v>121</v>
      </c>
      <c r="S18">
        <v>45</v>
      </c>
      <c r="T18">
        <v>12</v>
      </c>
      <c r="U18">
        <v>132</v>
      </c>
      <c r="V18">
        <v>104</v>
      </c>
      <c r="W18">
        <v>153</v>
      </c>
      <c r="X18">
        <v>92</v>
      </c>
      <c r="Y18">
        <v>133</v>
      </c>
      <c r="Z18">
        <v>7</v>
      </c>
      <c r="AA18">
        <v>8</v>
      </c>
      <c r="AB18">
        <v>139</v>
      </c>
      <c r="AC18">
        <v>176</v>
      </c>
      <c r="AD18">
        <v>61</v>
      </c>
      <c r="AE18">
        <v>4</v>
      </c>
      <c r="AF18">
        <v>20</v>
      </c>
      <c r="AG18">
        <v>7</v>
      </c>
      <c r="AH18">
        <f t="shared" si="0"/>
        <v>69.129032258064512</v>
      </c>
      <c r="AI18">
        <f t="shared" si="1"/>
        <v>1</v>
      </c>
    </row>
    <row r="19" spans="2:35" x14ac:dyDescent="0.25">
      <c r="B19" s="1" t="s">
        <v>55</v>
      </c>
      <c r="C19">
        <v>87</v>
      </c>
      <c r="D19">
        <v>447</v>
      </c>
      <c r="E19">
        <v>38</v>
      </c>
      <c r="F19">
        <v>46</v>
      </c>
      <c r="G19">
        <v>344</v>
      </c>
      <c r="H19">
        <v>297</v>
      </c>
      <c r="I19">
        <v>399</v>
      </c>
      <c r="J19">
        <v>522</v>
      </c>
      <c r="K19">
        <v>339</v>
      </c>
      <c r="L19">
        <v>28</v>
      </c>
      <c r="M19">
        <v>0</v>
      </c>
      <c r="N19">
        <v>0</v>
      </c>
      <c r="O19">
        <v>92</v>
      </c>
      <c r="P19">
        <v>441</v>
      </c>
      <c r="Q19">
        <v>341</v>
      </c>
      <c r="R19">
        <v>425</v>
      </c>
      <c r="S19">
        <v>128</v>
      </c>
      <c r="T19">
        <v>7</v>
      </c>
      <c r="U19">
        <v>466</v>
      </c>
      <c r="V19">
        <v>397</v>
      </c>
      <c r="W19">
        <v>471</v>
      </c>
      <c r="X19">
        <v>279</v>
      </c>
      <c r="Y19">
        <v>275</v>
      </c>
      <c r="Z19">
        <v>49</v>
      </c>
      <c r="AA19">
        <v>11</v>
      </c>
      <c r="AB19">
        <v>331</v>
      </c>
      <c r="AC19">
        <v>280</v>
      </c>
      <c r="AD19">
        <v>421</v>
      </c>
      <c r="AE19">
        <v>23</v>
      </c>
      <c r="AF19">
        <v>113</v>
      </c>
      <c r="AG19">
        <v>20</v>
      </c>
      <c r="AH19">
        <f t="shared" si="0"/>
        <v>229.58064516129033</v>
      </c>
      <c r="AI19">
        <f t="shared" si="1"/>
        <v>2</v>
      </c>
    </row>
    <row r="20" spans="2:35" x14ac:dyDescent="0.25">
      <c r="B20" s="1" t="s">
        <v>46</v>
      </c>
      <c r="C20">
        <v>0</v>
      </c>
      <c r="D20">
        <v>2</v>
      </c>
      <c r="E20">
        <v>1</v>
      </c>
      <c r="F20">
        <v>3</v>
      </c>
      <c r="G20">
        <v>44</v>
      </c>
      <c r="H20">
        <v>32</v>
      </c>
      <c r="I20">
        <v>59</v>
      </c>
      <c r="J20">
        <v>50</v>
      </c>
      <c r="K20">
        <v>43</v>
      </c>
      <c r="L20">
        <v>0</v>
      </c>
      <c r="M20">
        <v>12</v>
      </c>
      <c r="N20">
        <v>5</v>
      </c>
      <c r="O20">
        <v>31</v>
      </c>
      <c r="P20">
        <v>39</v>
      </c>
      <c r="Q20">
        <v>65</v>
      </c>
      <c r="R20">
        <v>74</v>
      </c>
      <c r="S20">
        <v>13</v>
      </c>
      <c r="T20">
        <v>0</v>
      </c>
      <c r="U20">
        <v>84</v>
      </c>
      <c r="V20">
        <v>85</v>
      </c>
      <c r="W20">
        <v>97</v>
      </c>
      <c r="X20">
        <v>72</v>
      </c>
      <c r="Y20">
        <v>75</v>
      </c>
      <c r="Z20">
        <v>18</v>
      </c>
      <c r="AA20">
        <v>1</v>
      </c>
      <c r="AB20">
        <v>82</v>
      </c>
      <c r="AC20">
        <v>58</v>
      </c>
      <c r="AD20">
        <v>69</v>
      </c>
      <c r="AE20">
        <v>1</v>
      </c>
      <c r="AF20">
        <v>26</v>
      </c>
      <c r="AG20">
        <v>9</v>
      </c>
      <c r="AH20">
        <f t="shared" si="0"/>
        <v>37.096774193548384</v>
      </c>
      <c r="AI20">
        <f t="shared" si="1"/>
        <v>3</v>
      </c>
    </row>
    <row r="21" spans="2:35" x14ac:dyDescent="0.25">
      <c r="B21" s="1" t="s">
        <v>61</v>
      </c>
      <c r="C21">
        <v>24</v>
      </c>
      <c r="D21">
        <v>10</v>
      </c>
      <c r="E21">
        <v>2</v>
      </c>
      <c r="F21">
        <v>3</v>
      </c>
      <c r="G21">
        <v>13</v>
      </c>
      <c r="H21">
        <v>32</v>
      </c>
      <c r="I21">
        <v>43</v>
      </c>
      <c r="J21">
        <v>60</v>
      </c>
      <c r="K21">
        <v>10</v>
      </c>
      <c r="L21">
        <v>4</v>
      </c>
      <c r="M21">
        <v>15</v>
      </c>
      <c r="N21">
        <v>9</v>
      </c>
      <c r="O21">
        <v>6</v>
      </c>
      <c r="P21">
        <v>23</v>
      </c>
      <c r="Q21">
        <v>27</v>
      </c>
      <c r="R21">
        <v>23</v>
      </c>
      <c r="S21">
        <v>0</v>
      </c>
      <c r="T21">
        <v>0</v>
      </c>
      <c r="U21">
        <v>0</v>
      </c>
      <c r="V21">
        <v>4</v>
      </c>
      <c r="W21">
        <v>24</v>
      </c>
      <c r="X21">
        <v>38</v>
      </c>
      <c r="Y21">
        <v>10</v>
      </c>
      <c r="Z21">
        <v>13</v>
      </c>
      <c r="AA21">
        <v>2</v>
      </c>
      <c r="AB21">
        <v>8</v>
      </c>
      <c r="AC21">
        <v>29</v>
      </c>
      <c r="AD21">
        <v>14</v>
      </c>
      <c r="AE21">
        <v>16</v>
      </c>
      <c r="AF21">
        <v>2</v>
      </c>
      <c r="AG21">
        <v>15</v>
      </c>
      <c r="AH21">
        <f t="shared" si="0"/>
        <v>15.451612903225806</v>
      </c>
      <c r="AI21">
        <f t="shared" si="1"/>
        <v>3</v>
      </c>
    </row>
    <row r="22" spans="2:35" x14ac:dyDescent="0.25">
      <c r="B22" s="1" t="s">
        <v>112</v>
      </c>
      <c r="C22">
        <v>0</v>
      </c>
      <c r="D22">
        <v>6</v>
      </c>
      <c r="E22">
        <v>1</v>
      </c>
      <c r="F22">
        <v>1</v>
      </c>
      <c r="G22">
        <v>20</v>
      </c>
      <c r="H22">
        <v>22</v>
      </c>
      <c r="I22">
        <v>5</v>
      </c>
      <c r="J22">
        <v>9</v>
      </c>
      <c r="K22">
        <v>35</v>
      </c>
      <c r="L22">
        <v>1</v>
      </c>
      <c r="M22">
        <v>1</v>
      </c>
      <c r="N22">
        <v>1</v>
      </c>
      <c r="O22">
        <v>2</v>
      </c>
      <c r="P22">
        <v>4</v>
      </c>
      <c r="Q22">
        <v>7</v>
      </c>
      <c r="R22">
        <v>2</v>
      </c>
      <c r="S22">
        <v>0</v>
      </c>
      <c r="T22">
        <v>0</v>
      </c>
      <c r="U22">
        <v>16</v>
      </c>
      <c r="V22">
        <v>27</v>
      </c>
      <c r="W22">
        <v>15</v>
      </c>
      <c r="X22">
        <v>13</v>
      </c>
      <c r="Y22">
        <v>20</v>
      </c>
      <c r="Z22">
        <v>1</v>
      </c>
      <c r="AA22">
        <v>1</v>
      </c>
      <c r="AB22">
        <v>5</v>
      </c>
      <c r="AC22">
        <v>8</v>
      </c>
      <c r="AD22">
        <v>7</v>
      </c>
      <c r="AE22">
        <v>1</v>
      </c>
      <c r="AF22">
        <v>1</v>
      </c>
      <c r="AG22">
        <v>1</v>
      </c>
      <c r="AH22">
        <f t="shared" si="0"/>
        <v>7.5161290322580649</v>
      </c>
      <c r="AI22">
        <f t="shared" si="1"/>
        <v>3</v>
      </c>
    </row>
    <row r="23" spans="2:35" x14ac:dyDescent="0.25">
      <c r="B23" s="1" t="s">
        <v>164</v>
      </c>
      <c r="C23">
        <v>2</v>
      </c>
      <c r="D23">
        <v>12</v>
      </c>
      <c r="E23">
        <v>3</v>
      </c>
      <c r="F23">
        <v>1</v>
      </c>
      <c r="G23">
        <v>27</v>
      </c>
      <c r="H23">
        <v>59</v>
      </c>
      <c r="I23">
        <v>19</v>
      </c>
      <c r="J23">
        <v>29</v>
      </c>
      <c r="K23">
        <v>15</v>
      </c>
      <c r="L23">
        <v>16</v>
      </c>
      <c r="M23">
        <v>0</v>
      </c>
      <c r="N23">
        <v>0</v>
      </c>
      <c r="O23">
        <v>3</v>
      </c>
      <c r="P23">
        <v>46</v>
      </c>
      <c r="Q23">
        <v>59</v>
      </c>
      <c r="R23">
        <v>35</v>
      </c>
      <c r="S23">
        <v>3</v>
      </c>
      <c r="T23">
        <v>4</v>
      </c>
      <c r="U23">
        <v>18</v>
      </c>
      <c r="V23">
        <v>134</v>
      </c>
      <c r="W23">
        <v>30</v>
      </c>
      <c r="X23">
        <v>18</v>
      </c>
      <c r="Y23">
        <v>60</v>
      </c>
      <c r="Z23">
        <v>13</v>
      </c>
      <c r="AA23">
        <v>2</v>
      </c>
      <c r="AB23">
        <v>45</v>
      </c>
      <c r="AC23">
        <v>57</v>
      </c>
      <c r="AD23">
        <v>135</v>
      </c>
      <c r="AE23">
        <v>0</v>
      </c>
      <c r="AF23">
        <v>8</v>
      </c>
      <c r="AG23">
        <v>5</v>
      </c>
      <c r="AH23">
        <f t="shared" si="0"/>
        <v>27.677419354838708</v>
      </c>
      <c r="AI23">
        <f t="shared" si="1"/>
        <v>3</v>
      </c>
    </row>
    <row r="24" spans="2:35" x14ac:dyDescent="0.25">
      <c r="B24" t="s">
        <v>50</v>
      </c>
      <c r="C24">
        <v>0</v>
      </c>
      <c r="D24">
        <v>10</v>
      </c>
      <c r="E24">
        <v>5</v>
      </c>
      <c r="F24">
        <v>2</v>
      </c>
      <c r="G24">
        <v>41</v>
      </c>
      <c r="H24">
        <v>48</v>
      </c>
      <c r="I24">
        <v>22</v>
      </c>
      <c r="J24">
        <v>25</v>
      </c>
      <c r="K24">
        <v>14</v>
      </c>
      <c r="L24">
        <v>10</v>
      </c>
      <c r="M24">
        <v>0</v>
      </c>
      <c r="N24">
        <v>0</v>
      </c>
      <c r="O24">
        <v>8</v>
      </c>
      <c r="P24">
        <v>17</v>
      </c>
      <c r="Q24">
        <v>44</v>
      </c>
      <c r="R24">
        <v>18</v>
      </c>
      <c r="S24">
        <v>6</v>
      </c>
      <c r="T24">
        <v>4</v>
      </c>
      <c r="U24">
        <v>32</v>
      </c>
      <c r="V24">
        <v>51</v>
      </c>
      <c r="W24">
        <v>32</v>
      </c>
      <c r="X24">
        <v>22</v>
      </c>
      <c r="Y24">
        <v>23</v>
      </c>
      <c r="Z24">
        <v>35</v>
      </c>
      <c r="AA24">
        <v>0</v>
      </c>
      <c r="AB24">
        <v>60</v>
      </c>
      <c r="AC24">
        <v>52</v>
      </c>
      <c r="AD24">
        <v>29</v>
      </c>
      <c r="AE24">
        <v>8</v>
      </c>
      <c r="AF24">
        <v>3</v>
      </c>
      <c r="AG24">
        <v>1</v>
      </c>
      <c r="AH24">
        <f t="shared" si="0"/>
        <v>20.06451612903226</v>
      </c>
      <c r="AI24">
        <f t="shared" si="1"/>
        <v>4</v>
      </c>
    </row>
    <row r="25" spans="2:35" x14ac:dyDescent="0.25">
      <c r="B25" t="s">
        <v>139</v>
      </c>
      <c r="C25">
        <v>2</v>
      </c>
      <c r="D25">
        <v>2</v>
      </c>
      <c r="E25">
        <v>2</v>
      </c>
      <c r="F25">
        <v>2</v>
      </c>
      <c r="G25">
        <v>2</v>
      </c>
      <c r="H25">
        <v>0</v>
      </c>
      <c r="I25">
        <v>0</v>
      </c>
      <c r="J25">
        <v>0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6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3</v>
      </c>
      <c r="AB25">
        <v>0</v>
      </c>
      <c r="AC25">
        <v>4</v>
      </c>
      <c r="AD25">
        <v>2</v>
      </c>
      <c r="AE25">
        <v>2</v>
      </c>
      <c r="AF25">
        <v>2</v>
      </c>
      <c r="AG25">
        <v>2</v>
      </c>
      <c r="AH25">
        <f t="shared" si="0"/>
        <v>1.967741935483871</v>
      </c>
      <c r="AI25">
        <f t="shared" si="1"/>
        <v>4</v>
      </c>
    </row>
    <row r="26" spans="2:35" x14ac:dyDescent="0.25">
      <c r="B26" t="s">
        <v>158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0</v>
      </c>
      <c r="N26">
        <v>0</v>
      </c>
      <c r="O26">
        <v>0</v>
      </c>
      <c r="P26">
        <v>0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6</v>
      </c>
      <c r="AC26">
        <v>5</v>
      </c>
      <c r="AD26">
        <v>5</v>
      </c>
      <c r="AE26">
        <v>5</v>
      </c>
      <c r="AF26">
        <v>5</v>
      </c>
      <c r="AG26">
        <v>5</v>
      </c>
      <c r="AH26">
        <f t="shared" si="0"/>
        <v>4.387096774193548</v>
      </c>
      <c r="AI26">
        <f t="shared" si="1"/>
        <v>4</v>
      </c>
    </row>
    <row r="27" spans="2:35" x14ac:dyDescent="0.25">
      <c r="B27" t="s">
        <v>211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3</v>
      </c>
      <c r="L27">
        <v>1</v>
      </c>
      <c r="M27">
        <v>0</v>
      </c>
      <c r="N27">
        <v>2</v>
      </c>
      <c r="O27">
        <v>2</v>
      </c>
      <c r="P27">
        <v>1</v>
      </c>
      <c r="Q27">
        <v>1</v>
      </c>
      <c r="R27">
        <v>2</v>
      </c>
      <c r="S27">
        <v>0</v>
      </c>
      <c r="T27">
        <v>3</v>
      </c>
      <c r="U27">
        <v>2</v>
      </c>
      <c r="V27">
        <v>3</v>
      </c>
      <c r="W27">
        <v>2</v>
      </c>
      <c r="X27">
        <v>1</v>
      </c>
      <c r="Y27">
        <v>2026</v>
      </c>
      <c r="Z27">
        <v>0</v>
      </c>
      <c r="AA27">
        <v>2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0</v>
      </c>
      <c r="AH27">
        <f t="shared" si="0"/>
        <v>66.677419354838705</v>
      </c>
      <c r="AI27">
        <f t="shared" si="1"/>
        <v>4</v>
      </c>
    </row>
    <row r="28" spans="2:35" x14ac:dyDescent="0.25">
      <c r="B28" t="s">
        <v>70</v>
      </c>
      <c r="C28">
        <v>1</v>
      </c>
      <c r="D28">
        <v>2</v>
      </c>
      <c r="E28">
        <v>0</v>
      </c>
      <c r="F28">
        <v>2</v>
      </c>
      <c r="G28">
        <v>61</v>
      </c>
      <c r="H28">
        <v>68</v>
      </c>
      <c r="I28">
        <v>63</v>
      </c>
      <c r="J28">
        <v>35</v>
      </c>
      <c r="K28">
        <v>48</v>
      </c>
      <c r="L28">
        <v>7</v>
      </c>
      <c r="M28">
        <v>0</v>
      </c>
      <c r="N28">
        <v>0</v>
      </c>
      <c r="O28">
        <v>19</v>
      </c>
      <c r="P28">
        <v>42</v>
      </c>
      <c r="Q28">
        <v>36</v>
      </c>
      <c r="R28">
        <v>52</v>
      </c>
      <c r="S28">
        <v>6</v>
      </c>
      <c r="T28">
        <v>0</v>
      </c>
      <c r="U28">
        <v>22</v>
      </c>
      <c r="V28">
        <v>79</v>
      </c>
      <c r="W28">
        <v>88</v>
      </c>
      <c r="X28">
        <v>43</v>
      </c>
      <c r="Y28">
        <v>83</v>
      </c>
      <c r="Z28">
        <v>8</v>
      </c>
      <c r="AA28">
        <v>5</v>
      </c>
      <c r="AB28">
        <v>60</v>
      </c>
      <c r="AC28">
        <v>74</v>
      </c>
      <c r="AD28">
        <v>57</v>
      </c>
      <c r="AE28">
        <v>0</v>
      </c>
      <c r="AF28">
        <v>56</v>
      </c>
      <c r="AG28">
        <v>2</v>
      </c>
      <c r="AH28">
        <f t="shared" si="0"/>
        <v>32.87096774193548</v>
      </c>
      <c r="AI28">
        <f t="shared" si="1"/>
        <v>5</v>
      </c>
    </row>
    <row r="29" spans="2:35" x14ac:dyDescent="0.25">
      <c r="B29" t="s">
        <v>106</v>
      </c>
      <c r="C29">
        <v>0</v>
      </c>
      <c r="D29">
        <v>19</v>
      </c>
      <c r="E29">
        <v>4</v>
      </c>
      <c r="F29">
        <v>0</v>
      </c>
      <c r="G29">
        <v>36</v>
      </c>
      <c r="H29">
        <v>18</v>
      </c>
      <c r="I29">
        <v>33</v>
      </c>
      <c r="J29">
        <v>25</v>
      </c>
      <c r="K29">
        <v>17</v>
      </c>
      <c r="L29">
        <v>7</v>
      </c>
      <c r="M29">
        <v>0</v>
      </c>
      <c r="N29">
        <v>0</v>
      </c>
      <c r="O29">
        <v>3</v>
      </c>
      <c r="P29">
        <v>14</v>
      </c>
      <c r="Q29">
        <v>16</v>
      </c>
      <c r="R29">
        <v>24</v>
      </c>
      <c r="S29">
        <v>5</v>
      </c>
      <c r="T29">
        <v>13</v>
      </c>
      <c r="U29">
        <v>13</v>
      </c>
      <c r="V29">
        <v>10</v>
      </c>
      <c r="W29">
        <v>30</v>
      </c>
      <c r="X29">
        <v>21</v>
      </c>
      <c r="Y29">
        <v>8</v>
      </c>
      <c r="Z29">
        <v>13</v>
      </c>
      <c r="AA29">
        <v>1</v>
      </c>
      <c r="AB29">
        <v>15</v>
      </c>
      <c r="AC29">
        <v>30</v>
      </c>
      <c r="AD29">
        <v>18</v>
      </c>
      <c r="AE29">
        <v>0</v>
      </c>
      <c r="AF29">
        <v>2</v>
      </c>
      <c r="AG29">
        <v>9</v>
      </c>
      <c r="AH29">
        <f t="shared" si="0"/>
        <v>13.03225806451613</v>
      </c>
      <c r="AI29">
        <f t="shared" si="1"/>
        <v>5</v>
      </c>
    </row>
    <row r="30" spans="2:35" x14ac:dyDescent="0.25">
      <c r="B30" t="s">
        <v>128</v>
      </c>
      <c r="C30">
        <v>0</v>
      </c>
      <c r="D30">
        <v>13</v>
      </c>
      <c r="E30">
        <v>1</v>
      </c>
      <c r="F30">
        <v>0</v>
      </c>
      <c r="G30">
        <v>37</v>
      </c>
      <c r="H30">
        <v>34</v>
      </c>
      <c r="I30">
        <v>16</v>
      </c>
      <c r="J30">
        <v>28</v>
      </c>
      <c r="K30">
        <v>28</v>
      </c>
      <c r="L30">
        <v>6</v>
      </c>
      <c r="M30">
        <v>0</v>
      </c>
      <c r="N30">
        <v>1</v>
      </c>
      <c r="O30">
        <v>6</v>
      </c>
      <c r="P30">
        <v>27</v>
      </c>
      <c r="Q30">
        <v>21</v>
      </c>
      <c r="R30">
        <v>27</v>
      </c>
      <c r="S30">
        <v>11</v>
      </c>
      <c r="T30">
        <v>2</v>
      </c>
      <c r="U30">
        <v>59</v>
      </c>
      <c r="V30">
        <v>57</v>
      </c>
      <c r="W30">
        <v>28</v>
      </c>
      <c r="X30">
        <v>30</v>
      </c>
      <c r="Y30">
        <v>33</v>
      </c>
      <c r="Z30">
        <v>12</v>
      </c>
      <c r="AA30">
        <v>0</v>
      </c>
      <c r="AB30">
        <v>32</v>
      </c>
      <c r="AC30">
        <v>29</v>
      </c>
      <c r="AD30">
        <v>22</v>
      </c>
      <c r="AE30">
        <v>1</v>
      </c>
      <c r="AF30">
        <v>3</v>
      </c>
      <c r="AG30">
        <v>0</v>
      </c>
      <c r="AH30">
        <f t="shared" si="0"/>
        <v>18.193548387096776</v>
      </c>
      <c r="AI30">
        <f t="shared" si="1"/>
        <v>5</v>
      </c>
    </row>
    <row r="31" spans="2:35" x14ac:dyDescent="0.25">
      <c r="B31" t="s">
        <v>81</v>
      </c>
      <c r="C31">
        <v>13</v>
      </c>
      <c r="D31">
        <v>53</v>
      </c>
      <c r="E31">
        <v>0</v>
      </c>
      <c r="F31">
        <v>0</v>
      </c>
      <c r="G31">
        <v>63</v>
      </c>
      <c r="H31">
        <v>35</v>
      </c>
      <c r="I31">
        <v>71</v>
      </c>
      <c r="J31">
        <v>49</v>
      </c>
      <c r="K31">
        <v>35</v>
      </c>
      <c r="L31">
        <v>0</v>
      </c>
      <c r="M31">
        <v>0</v>
      </c>
      <c r="N31">
        <v>0</v>
      </c>
      <c r="O31">
        <v>6</v>
      </c>
      <c r="P31">
        <v>140</v>
      </c>
      <c r="Q31">
        <v>81</v>
      </c>
      <c r="R31">
        <v>83</v>
      </c>
      <c r="S31">
        <v>30</v>
      </c>
      <c r="T31">
        <v>0</v>
      </c>
      <c r="U31">
        <v>45</v>
      </c>
      <c r="V31">
        <v>68</v>
      </c>
      <c r="W31">
        <v>43</v>
      </c>
      <c r="X31">
        <v>66</v>
      </c>
      <c r="Y31">
        <v>49</v>
      </c>
      <c r="Z31">
        <v>18</v>
      </c>
      <c r="AA31">
        <v>4</v>
      </c>
      <c r="AB31">
        <v>74</v>
      </c>
      <c r="AC31">
        <v>60</v>
      </c>
      <c r="AD31">
        <v>71</v>
      </c>
      <c r="AE31">
        <v>1</v>
      </c>
      <c r="AF31">
        <v>10</v>
      </c>
      <c r="AG31">
        <v>5</v>
      </c>
      <c r="AH31">
        <f t="shared" si="0"/>
        <v>37.838709677419352</v>
      </c>
      <c r="AI31">
        <f t="shared" si="1"/>
        <v>6</v>
      </c>
    </row>
    <row r="32" spans="2:35" x14ac:dyDescent="0.25">
      <c r="B32" t="s">
        <v>176</v>
      </c>
      <c r="C32">
        <v>0</v>
      </c>
      <c r="D32">
        <v>67</v>
      </c>
      <c r="E32">
        <v>7</v>
      </c>
      <c r="F32">
        <v>0</v>
      </c>
      <c r="G32">
        <v>138</v>
      </c>
      <c r="H32">
        <v>140</v>
      </c>
      <c r="I32">
        <v>62</v>
      </c>
      <c r="J32">
        <v>136</v>
      </c>
      <c r="K32">
        <v>76</v>
      </c>
      <c r="L32">
        <v>16</v>
      </c>
      <c r="M32">
        <v>0</v>
      </c>
      <c r="N32">
        <v>0</v>
      </c>
      <c r="O32">
        <v>19</v>
      </c>
      <c r="P32">
        <v>109</v>
      </c>
      <c r="Q32">
        <v>128</v>
      </c>
      <c r="R32">
        <v>67</v>
      </c>
      <c r="S32">
        <v>6</v>
      </c>
      <c r="T32">
        <v>0</v>
      </c>
      <c r="U32">
        <v>105</v>
      </c>
      <c r="V32">
        <v>100</v>
      </c>
      <c r="W32">
        <v>121</v>
      </c>
      <c r="X32">
        <v>146</v>
      </c>
      <c r="Y32">
        <v>76</v>
      </c>
      <c r="Z32">
        <v>11</v>
      </c>
      <c r="AA32">
        <v>1</v>
      </c>
      <c r="AB32">
        <v>121</v>
      </c>
      <c r="AC32">
        <v>81</v>
      </c>
      <c r="AD32">
        <v>38</v>
      </c>
      <c r="AE32">
        <v>1</v>
      </c>
      <c r="AF32">
        <v>0</v>
      </c>
      <c r="AG32">
        <v>15</v>
      </c>
      <c r="AH32">
        <f t="shared" si="0"/>
        <v>57.645161290322584</v>
      </c>
      <c r="AI32">
        <f t="shared" si="1"/>
        <v>6</v>
      </c>
    </row>
    <row r="33" spans="2:35" x14ac:dyDescent="0.25">
      <c r="B33" t="s">
        <v>183</v>
      </c>
      <c r="C33">
        <v>2</v>
      </c>
      <c r="D33">
        <v>8</v>
      </c>
      <c r="E33">
        <v>0</v>
      </c>
      <c r="F33">
        <v>0</v>
      </c>
      <c r="G33">
        <v>3</v>
      </c>
      <c r="H33">
        <v>21</v>
      </c>
      <c r="I33">
        <v>13</v>
      </c>
      <c r="J33">
        <v>5</v>
      </c>
      <c r="K33">
        <v>13</v>
      </c>
      <c r="L33">
        <v>0</v>
      </c>
      <c r="M33">
        <v>0</v>
      </c>
      <c r="N33">
        <v>1</v>
      </c>
      <c r="O33">
        <v>1</v>
      </c>
      <c r="P33">
        <v>17</v>
      </c>
      <c r="Q33">
        <v>9</v>
      </c>
      <c r="R33">
        <v>22</v>
      </c>
      <c r="S33">
        <v>1</v>
      </c>
      <c r="T33">
        <v>0</v>
      </c>
      <c r="U33">
        <v>24</v>
      </c>
      <c r="V33">
        <v>17</v>
      </c>
      <c r="W33">
        <v>21</v>
      </c>
      <c r="X33">
        <v>8</v>
      </c>
      <c r="Y33">
        <v>21</v>
      </c>
      <c r="Z33">
        <v>1</v>
      </c>
      <c r="AA33">
        <v>0</v>
      </c>
      <c r="AB33">
        <v>11</v>
      </c>
      <c r="AC33">
        <v>29</v>
      </c>
      <c r="AD33">
        <v>12</v>
      </c>
      <c r="AE33">
        <v>22</v>
      </c>
      <c r="AF33">
        <v>6</v>
      </c>
      <c r="AG33">
        <v>10</v>
      </c>
      <c r="AH33">
        <f t="shared" si="0"/>
        <v>9.612903225806452</v>
      </c>
      <c r="AI33">
        <f t="shared" si="1"/>
        <v>6</v>
      </c>
    </row>
    <row r="34" spans="2:35" x14ac:dyDescent="0.25">
      <c r="B34" t="s">
        <v>189</v>
      </c>
      <c r="C34">
        <v>1</v>
      </c>
      <c r="D34">
        <v>3</v>
      </c>
      <c r="E34">
        <v>1</v>
      </c>
      <c r="F34">
        <v>1</v>
      </c>
      <c r="G34">
        <v>1</v>
      </c>
      <c r="H34">
        <v>3</v>
      </c>
      <c r="I34">
        <v>1</v>
      </c>
      <c r="J34">
        <v>1</v>
      </c>
      <c r="K34">
        <v>1</v>
      </c>
      <c r="L34">
        <v>0</v>
      </c>
      <c r="M34">
        <v>2</v>
      </c>
      <c r="N34">
        <v>1</v>
      </c>
      <c r="O34">
        <v>1</v>
      </c>
      <c r="P34">
        <v>2</v>
      </c>
      <c r="Q34">
        <v>1</v>
      </c>
      <c r="R34">
        <v>2</v>
      </c>
      <c r="S34">
        <v>0</v>
      </c>
      <c r="T34">
        <v>1</v>
      </c>
      <c r="U34">
        <v>1</v>
      </c>
      <c r="V34">
        <v>1</v>
      </c>
      <c r="W34">
        <v>2</v>
      </c>
      <c r="X34">
        <v>2</v>
      </c>
      <c r="Y34">
        <v>5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f t="shared" ref="AH34:AH65" si="2">AVERAGE(C34:AG34)</f>
        <v>1.2258064516129032</v>
      </c>
      <c r="AI34">
        <f t="shared" ref="AI34:AI65" si="3">COUNTIF(C34:AG34,"0")</f>
        <v>6</v>
      </c>
    </row>
    <row r="35" spans="2:35" x14ac:dyDescent="0.25">
      <c r="B35" t="s">
        <v>190</v>
      </c>
      <c r="C35">
        <v>0</v>
      </c>
      <c r="D35">
        <v>7</v>
      </c>
      <c r="E35">
        <v>2</v>
      </c>
      <c r="F35">
        <v>0</v>
      </c>
      <c r="G35">
        <v>143</v>
      </c>
      <c r="H35">
        <v>86</v>
      </c>
      <c r="I35">
        <v>112</v>
      </c>
      <c r="J35">
        <v>93</v>
      </c>
      <c r="K35">
        <v>69</v>
      </c>
      <c r="L35">
        <v>16</v>
      </c>
      <c r="M35">
        <v>0</v>
      </c>
      <c r="N35">
        <v>0</v>
      </c>
      <c r="O35">
        <v>26</v>
      </c>
      <c r="P35">
        <v>80</v>
      </c>
      <c r="Q35">
        <v>126</v>
      </c>
      <c r="R35">
        <v>99</v>
      </c>
      <c r="S35">
        <v>26</v>
      </c>
      <c r="T35">
        <v>1</v>
      </c>
      <c r="U35">
        <v>122</v>
      </c>
      <c r="V35">
        <v>115</v>
      </c>
      <c r="W35">
        <v>118</v>
      </c>
      <c r="X35">
        <v>59</v>
      </c>
      <c r="Y35">
        <v>108</v>
      </c>
      <c r="Z35">
        <v>24</v>
      </c>
      <c r="AA35">
        <v>0</v>
      </c>
      <c r="AB35">
        <v>122</v>
      </c>
      <c r="AC35">
        <v>90</v>
      </c>
      <c r="AD35">
        <v>83</v>
      </c>
      <c r="AE35">
        <v>0</v>
      </c>
      <c r="AF35">
        <v>14</v>
      </c>
      <c r="AG35">
        <v>6</v>
      </c>
      <c r="AH35">
        <f t="shared" si="2"/>
        <v>56.354838709677416</v>
      </c>
      <c r="AI35">
        <f t="shared" si="3"/>
        <v>6</v>
      </c>
    </row>
    <row r="36" spans="2:35" x14ac:dyDescent="0.25">
      <c r="B36" t="s">
        <v>89</v>
      </c>
      <c r="C36">
        <v>8</v>
      </c>
      <c r="D36">
        <v>21</v>
      </c>
      <c r="E36">
        <v>1</v>
      </c>
      <c r="F36">
        <v>0</v>
      </c>
      <c r="G36">
        <v>39</v>
      </c>
      <c r="H36">
        <v>0</v>
      </c>
      <c r="I36">
        <v>0</v>
      </c>
      <c r="J36">
        <v>0</v>
      </c>
      <c r="K36">
        <v>71</v>
      </c>
      <c r="L36">
        <v>5</v>
      </c>
      <c r="M36">
        <v>0</v>
      </c>
      <c r="N36">
        <v>7</v>
      </c>
      <c r="O36">
        <v>0</v>
      </c>
      <c r="P36">
        <v>32</v>
      </c>
      <c r="Q36">
        <v>37</v>
      </c>
      <c r="R36">
        <v>40</v>
      </c>
      <c r="S36">
        <v>3</v>
      </c>
      <c r="T36">
        <v>0</v>
      </c>
      <c r="U36">
        <v>53</v>
      </c>
      <c r="V36">
        <v>32</v>
      </c>
      <c r="W36">
        <v>80</v>
      </c>
      <c r="X36">
        <v>74</v>
      </c>
      <c r="Y36">
        <v>47</v>
      </c>
      <c r="Z36">
        <v>5</v>
      </c>
      <c r="AA36">
        <v>3</v>
      </c>
      <c r="AB36">
        <v>37</v>
      </c>
      <c r="AC36">
        <v>54</v>
      </c>
      <c r="AD36">
        <v>42</v>
      </c>
      <c r="AE36">
        <v>1</v>
      </c>
      <c r="AF36">
        <v>1</v>
      </c>
      <c r="AG36">
        <v>3</v>
      </c>
      <c r="AH36">
        <f t="shared" si="2"/>
        <v>22.451612903225808</v>
      </c>
      <c r="AI36">
        <f t="shared" si="3"/>
        <v>7</v>
      </c>
    </row>
    <row r="37" spans="2:35" x14ac:dyDescent="0.25">
      <c r="B37" t="s">
        <v>114</v>
      </c>
      <c r="C37">
        <v>0</v>
      </c>
      <c r="D37">
        <v>18</v>
      </c>
      <c r="E37">
        <v>2</v>
      </c>
      <c r="F37">
        <v>0</v>
      </c>
      <c r="G37">
        <v>121</v>
      </c>
      <c r="H37">
        <v>65</v>
      </c>
      <c r="I37">
        <v>72</v>
      </c>
      <c r="J37">
        <v>62</v>
      </c>
      <c r="K37">
        <v>19</v>
      </c>
      <c r="L37">
        <v>1</v>
      </c>
      <c r="M37">
        <v>0</v>
      </c>
      <c r="N37">
        <v>0</v>
      </c>
      <c r="O37">
        <v>12</v>
      </c>
      <c r="P37">
        <v>42</v>
      </c>
      <c r="Q37">
        <v>83</v>
      </c>
      <c r="R37">
        <v>44</v>
      </c>
      <c r="S37">
        <v>4</v>
      </c>
      <c r="T37">
        <v>0</v>
      </c>
      <c r="U37">
        <v>39</v>
      </c>
      <c r="V37">
        <v>32</v>
      </c>
      <c r="W37">
        <v>53</v>
      </c>
      <c r="X37">
        <v>21</v>
      </c>
      <c r="Y37">
        <v>27</v>
      </c>
      <c r="Z37">
        <v>4</v>
      </c>
      <c r="AA37">
        <v>0</v>
      </c>
      <c r="AB37">
        <v>25</v>
      </c>
      <c r="AC37">
        <v>58</v>
      </c>
      <c r="AD37">
        <v>23</v>
      </c>
      <c r="AE37">
        <v>1</v>
      </c>
      <c r="AF37">
        <v>0</v>
      </c>
      <c r="AG37">
        <v>3</v>
      </c>
      <c r="AH37">
        <f t="shared" si="2"/>
        <v>26.806451612903224</v>
      </c>
      <c r="AI37">
        <f t="shared" si="3"/>
        <v>7</v>
      </c>
    </row>
    <row r="38" spans="2:35" x14ac:dyDescent="0.25">
      <c r="B38" t="s">
        <v>179</v>
      </c>
      <c r="C38">
        <v>0</v>
      </c>
      <c r="D38">
        <v>45</v>
      </c>
      <c r="E38">
        <v>1</v>
      </c>
      <c r="F38">
        <v>0</v>
      </c>
      <c r="G38">
        <v>64</v>
      </c>
      <c r="H38">
        <v>87</v>
      </c>
      <c r="I38">
        <v>89</v>
      </c>
      <c r="J38">
        <v>82</v>
      </c>
      <c r="K38">
        <v>80</v>
      </c>
      <c r="L38">
        <v>2</v>
      </c>
      <c r="M38">
        <v>1</v>
      </c>
      <c r="N38">
        <v>0</v>
      </c>
      <c r="O38">
        <v>0</v>
      </c>
      <c r="P38">
        <v>77</v>
      </c>
      <c r="Q38">
        <v>58</v>
      </c>
      <c r="R38">
        <v>47</v>
      </c>
      <c r="S38">
        <v>5</v>
      </c>
      <c r="T38">
        <v>0</v>
      </c>
      <c r="U38">
        <v>100</v>
      </c>
      <c r="V38">
        <v>97</v>
      </c>
      <c r="W38">
        <v>98</v>
      </c>
      <c r="X38">
        <v>86</v>
      </c>
      <c r="Y38">
        <v>62</v>
      </c>
      <c r="Z38">
        <v>7</v>
      </c>
      <c r="AA38">
        <v>0</v>
      </c>
      <c r="AB38">
        <v>106</v>
      </c>
      <c r="AC38">
        <v>93</v>
      </c>
      <c r="AD38">
        <v>59</v>
      </c>
      <c r="AE38">
        <v>0</v>
      </c>
      <c r="AF38">
        <v>4</v>
      </c>
      <c r="AG38">
        <v>4</v>
      </c>
      <c r="AH38">
        <f t="shared" si="2"/>
        <v>43.677419354838712</v>
      </c>
      <c r="AI38">
        <f t="shared" si="3"/>
        <v>7</v>
      </c>
    </row>
    <row r="39" spans="2:35" x14ac:dyDescent="0.25">
      <c r="B39" t="s">
        <v>205</v>
      </c>
      <c r="C39">
        <v>1</v>
      </c>
      <c r="D39">
        <v>5</v>
      </c>
      <c r="E39">
        <v>1</v>
      </c>
      <c r="F39">
        <v>0</v>
      </c>
      <c r="G39">
        <v>3</v>
      </c>
      <c r="H39">
        <v>0</v>
      </c>
      <c r="I39">
        <v>1</v>
      </c>
      <c r="J39">
        <v>2</v>
      </c>
      <c r="K39">
        <v>2</v>
      </c>
      <c r="L39">
        <v>2</v>
      </c>
      <c r="M39">
        <v>4</v>
      </c>
      <c r="N39">
        <v>2</v>
      </c>
      <c r="O39">
        <v>3</v>
      </c>
      <c r="P39">
        <v>1</v>
      </c>
      <c r="Q39">
        <v>3</v>
      </c>
      <c r="R39">
        <v>1</v>
      </c>
      <c r="S39">
        <v>1</v>
      </c>
      <c r="T39">
        <v>0</v>
      </c>
      <c r="U39">
        <v>4</v>
      </c>
      <c r="V39">
        <v>9</v>
      </c>
      <c r="W39">
        <v>0</v>
      </c>
      <c r="X39">
        <v>3</v>
      </c>
      <c r="Y39">
        <v>2</v>
      </c>
      <c r="Z39">
        <v>0</v>
      </c>
      <c r="AA39">
        <v>6</v>
      </c>
      <c r="AB39">
        <v>6</v>
      </c>
      <c r="AC39">
        <v>5</v>
      </c>
      <c r="AD39">
        <v>0</v>
      </c>
      <c r="AE39">
        <v>0</v>
      </c>
      <c r="AF39">
        <v>1</v>
      </c>
      <c r="AG39">
        <v>2</v>
      </c>
      <c r="AH39">
        <f t="shared" si="2"/>
        <v>2.2580645161290325</v>
      </c>
      <c r="AI39">
        <f t="shared" si="3"/>
        <v>7</v>
      </c>
    </row>
    <row r="40" spans="2:35" x14ac:dyDescent="0.25">
      <c r="B40" t="s">
        <v>188</v>
      </c>
      <c r="C40">
        <v>4</v>
      </c>
      <c r="D40">
        <v>7</v>
      </c>
      <c r="E40">
        <v>0</v>
      </c>
      <c r="F40">
        <v>0</v>
      </c>
      <c r="G40">
        <v>14</v>
      </c>
      <c r="H40">
        <v>22</v>
      </c>
      <c r="I40">
        <v>42</v>
      </c>
      <c r="J40">
        <v>10</v>
      </c>
      <c r="K40">
        <v>14</v>
      </c>
      <c r="L40">
        <v>3</v>
      </c>
      <c r="M40">
        <v>0</v>
      </c>
      <c r="N40">
        <v>2</v>
      </c>
      <c r="O40">
        <v>9</v>
      </c>
      <c r="P40">
        <v>17</v>
      </c>
      <c r="Q40">
        <v>26</v>
      </c>
      <c r="R40">
        <v>12</v>
      </c>
      <c r="S40">
        <v>1</v>
      </c>
      <c r="T40">
        <v>0</v>
      </c>
      <c r="U40">
        <v>7</v>
      </c>
      <c r="V40">
        <v>6</v>
      </c>
      <c r="W40">
        <v>33</v>
      </c>
      <c r="X40">
        <v>22</v>
      </c>
      <c r="Y40">
        <v>20</v>
      </c>
      <c r="Z40">
        <v>0</v>
      </c>
      <c r="AA40">
        <v>0</v>
      </c>
      <c r="AB40">
        <v>8</v>
      </c>
      <c r="AC40">
        <v>18</v>
      </c>
      <c r="AD40">
        <v>19</v>
      </c>
      <c r="AE40">
        <v>0</v>
      </c>
      <c r="AF40">
        <v>0</v>
      </c>
      <c r="AG40">
        <v>0</v>
      </c>
      <c r="AH40">
        <f t="shared" si="2"/>
        <v>10.193548387096774</v>
      </c>
      <c r="AI40">
        <f t="shared" si="3"/>
        <v>9</v>
      </c>
    </row>
    <row r="41" spans="2:35" x14ac:dyDescent="0.25"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567</v>
      </c>
      <c r="L41">
        <v>28</v>
      </c>
      <c r="M41">
        <v>0</v>
      </c>
      <c r="N41">
        <v>17</v>
      </c>
      <c r="O41">
        <v>174</v>
      </c>
      <c r="P41">
        <v>476</v>
      </c>
      <c r="Q41">
        <v>305</v>
      </c>
      <c r="R41">
        <v>250</v>
      </c>
      <c r="S41">
        <v>48</v>
      </c>
      <c r="T41">
        <v>4</v>
      </c>
      <c r="U41">
        <v>197</v>
      </c>
      <c r="V41">
        <v>420</v>
      </c>
      <c r="W41">
        <v>386</v>
      </c>
      <c r="X41">
        <v>189</v>
      </c>
      <c r="Y41">
        <v>207</v>
      </c>
      <c r="Z41">
        <v>129</v>
      </c>
      <c r="AA41">
        <v>26</v>
      </c>
      <c r="AB41">
        <v>218</v>
      </c>
      <c r="AC41">
        <v>207</v>
      </c>
      <c r="AD41">
        <v>162</v>
      </c>
      <c r="AE41">
        <v>13</v>
      </c>
      <c r="AF41">
        <v>81</v>
      </c>
      <c r="AG41">
        <v>35</v>
      </c>
      <c r="AH41">
        <f t="shared" si="2"/>
        <v>133.51612903225808</v>
      </c>
      <c r="AI41">
        <f t="shared" si="3"/>
        <v>9</v>
      </c>
    </row>
    <row r="42" spans="2:35" x14ac:dyDescent="0.25">
      <c r="B42" t="s">
        <v>90</v>
      </c>
      <c r="C42">
        <v>0</v>
      </c>
      <c r="D42">
        <v>22</v>
      </c>
      <c r="E42">
        <v>4</v>
      </c>
      <c r="F42">
        <v>11</v>
      </c>
      <c r="G42">
        <v>36</v>
      </c>
      <c r="H42">
        <v>20</v>
      </c>
      <c r="I42">
        <v>40</v>
      </c>
      <c r="J42">
        <v>51</v>
      </c>
      <c r="K42">
        <v>32</v>
      </c>
      <c r="L42">
        <v>13</v>
      </c>
      <c r="M42">
        <v>0</v>
      </c>
      <c r="N42">
        <v>0</v>
      </c>
      <c r="O42">
        <v>0</v>
      </c>
      <c r="P42">
        <v>34</v>
      </c>
      <c r="Q42">
        <v>48</v>
      </c>
      <c r="R42">
        <v>33</v>
      </c>
      <c r="S42">
        <v>12</v>
      </c>
      <c r="T42">
        <v>0</v>
      </c>
      <c r="U42">
        <v>0</v>
      </c>
      <c r="V42">
        <v>0</v>
      </c>
      <c r="W42">
        <v>0</v>
      </c>
      <c r="X42">
        <v>16</v>
      </c>
      <c r="Y42">
        <v>137</v>
      </c>
      <c r="Z42">
        <v>7</v>
      </c>
      <c r="AA42">
        <v>8</v>
      </c>
      <c r="AB42">
        <v>103</v>
      </c>
      <c r="AC42">
        <v>37</v>
      </c>
      <c r="AD42">
        <v>0</v>
      </c>
      <c r="AE42">
        <v>0</v>
      </c>
      <c r="AF42">
        <v>12</v>
      </c>
      <c r="AG42">
        <v>9</v>
      </c>
      <c r="AH42">
        <f t="shared" si="2"/>
        <v>22.096774193548388</v>
      </c>
      <c r="AI42">
        <f t="shared" si="3"/>
        <v>10</v>
      </c>
    </row>
    <row r="43" spans="2:35" x14ac:dyDescent="0.25">
      <c r="B43" t="s">
        <v>172</v>
      </c>
      <c r="C43">
        <v>0</v>
      </c>
      <c r="D43">
        <v>11</v>
      </c>
      <c r="E43">
        <v>0</v>
      </c>
      <c r="F43">
        <v>0</v>
      </c>
      <c r="G43">
        <v>12</v>
      </c>
      <c r="H43">
        <v>30</v>
      </c>
      <c r="I43">
        <v>18</v>
      </c>
      <c r="J43">
        <v>14</v>
      </c>
      <c r="K43">
        <v>9</v>
      </c>
      <c r="L43">
        <v>0</v>
      </c>
      <c r="M43">
        <v>0</v>
      </c>
      <c r="N43">
        <v>0</v>
      </c>
      <c r="O43">
        <v>7</v>
      </c>
      <c r="P43">
        <v>52</v>
      </c>
      <c r="Q43">
        <v>50</v>
      </c>
      <c r="R43">
        <v>36</v>
      </c>
      <c r="S43">
        <v>0</v>
      </c>
      <c r="T43">
        <v>0</v>
      </c>
      <c r="U43">
        <v>32</v>
      </c>
      <c r="V43">
        <v>7</v>
      </c>
      <c r="W43">
        <v>63</v>
      </c>
      <c r="X43">
        <v>25</v>
      </c>
      <c r="Y43">
        <v>5</v>
      </c>
      <c r="Z43">
        <v>0</v>
      </c>
      <c r="AA43">
        <v>4</v>
      </c>
      <c r="AB43">
        <v>7</v>
      </c>
      <c r="AC43">
        <v>28</v>
      </c>
      <c r="AD43">
        <v>17</v>
      </c>
      <c r="AE43">
        <v>0</v>
      </c>
      <c r="AF43">
        <v>2</v>
      </c>
      <c r="AG43">
        <v>1</v>
      </c>
      <c r="AH43">
        <f t="shared" si="2"/>
        <v>13.870967741935484</v>
      </c>
      <c r="AI43">
        <f t="shared" si="3"/>
        <v>10</v>
      </c>
    </row>
    <row r="44" spans="2:35" x14ac:dyDescent="0.25">
      <c r="B44" t="s">
        <v>60</v>
      </c>
      <c r="C44">
        <v>0</v>
      </c>
      <c r="D44">
        <v>4</v>
      </c>
      <c r="E44">
        <v>0</v>
      </c>
      <c r="F44">
        <v>0</v>
      </c>
      <c r="G44">
        <v>1</v>
      </c>
      <c r="H44">
        <v>0</v>
      </c>
      <c r="I44">
        <v>7</v>
      </c>
      <c r="J44">
        <v>8</v>
      </c>
      <c r="K44">
        <v>5</v>
      </c>
      <c r="L44">
        <v>0</v>
      </c>
      <c r="M44">
        <v>0</v>
      </c>
      <c r="N44">
        <v>17</v>
      </c>
      <c r="O44">
        <v>0</v>
      </c>
      <c r="P44">
        <v>10</v>
      </c>
      <c r="Q44">
        <v>16</v>
      </c>
      <c r="R44">
        <v>1</v>
      </c>
      <c r="S44">
        <v>1</v>
      </c>
      <c r="T44">
        <v>0</v>
      </c>
      <c r="U44">
        <v>24</v>
      </c>
      <c r="V44">
        <v>9</v>
      </c>
      <c r="W44">
        <v>25</v>
      </c>
      <c r="X44">
        <v>25</v>
      </c>
      <c r="Y44">
        <v>7</v>
      </c>
      <c r="Z44">
        <v>6</v>
      </c>
      <c r="AA44">
        <v>0</v>
      </c>
      <c r="AB44">
        <v>4</v>
      </c>
      <c r="AC44">
        <v>16</v>
      </c>
      <c r="AD44">
        <v>6</v>
      </c>
      <c r="AE44">
        <v>0</v>
      </c>
      <c r="AF44">
        <v>0</v>
      </c>
      <c r="AG44">
        <v>1</v>
      </c>
      <c r="AH44">
        <f t="shared" si="2"/>
        <v>6.225806451612903</v>
      </c>
      <c r="AI44">
        <f t="shared" si="3"/>
        <v>11</v>
      </c>
    </row>
    <row r="45" spans="2:35" x14ac:dyDescent="0.25">
      <c r="B45" t="s">
        <v>73</v>
      </c>
      <c r="C45">
        <v>1</v>
      </c>
      <c r="D45">
        <v>3</v>
      </c>
      <c r="E45">
        <v>4</v>
      </c>
      <c r="F45">
        <v>0</v>
      </c>
      <c r="G45">
        <v>9</v>
      </c>
      <c r="H45">
        <v>10</v>
      </c>
      <c r="I45">
        <v>4</v>
      </c>
      <c r="J45">
        <v>8</v>
      </c>
      <c r="K45">
        <v>6</v>
      </c>
      <c r="L45">
        <v>0</v>
      </c>
      <c r="M45">
        <v>0</v>
      </c>
      <c r="N45">
        <v>0</v>
      </c>
      <c r="O45">
        <v>0</v>
      </c>
      <c r="P45">
        <v>4</v>
      </c>
      <c r="Q45">
        <v>4</v>
      </c>
      <c r="R45">
        <v>3</v>
      </c>
      <c r="S45">
        <v>0</v>
      </c>
      <c r="T45">
        <v>1</v>
      </c>
      <c r="U45">
        <v>4</v>
      </c>
      <c r="V45">
        <v>0</v>
      </c>
      <c r="W45">
        <v>2</v>
      </c>
      <c r="X45">
        <v>1</v>
      </c>
      <c r="Y45">
        <v>2</v>
      </c>
      <c r="Z45">
        <v>1</v>
      </c>
      <c r="AA45">
        <v>0</v>
      </c>
      <c r="AB45">
        <v>3</v>
      </c>
      <c r="AC45">
        <v>4</v>
      </c>
      <c r="AD45">
        <v>7</v>
      </c>
      <c r="AE45">
        <v>0</v>
      </c>
      <c r="AF45">
        <v>0</v>
      </c>
      <c r="AG45">
        <v>0</v>
      </c>
      <c r="AH45">
        <f t="shared" si="2"/>
        <v>2.6129032258064515</v>
      </c>
      <c r="AI45">
        <f t="shared" si="3"/>
        <v>11</v>
      </c>
    </row>
    <row r="46" spans="2:35" x14ac:dyDescent="0.25">
      <c r="B46" t="s">
        <v>122</v>
      </c>
      <c r="C46">
        <v>0</v>
      </c>
      <c r="D46">
        <v>4</v>
      </c>
      <c r="E46">
        <v>0</v>
      </c>
      <c r="F46">
        <v>0</v>
      </c>
      <c r="G46">
        <v>7</v>
      </c>
      <c r="H46">
        <v>11</v>
      </c>
      <c r="I46">
        <v>3</v>
      </c>
      <c r="J46">
        <v>32</v>
      </c>
      <c r="K46">
        <v>14</v>
      </c>
      <c r="L46">
        <v>1</v>
      </c>
      <c r="M46">
        <v>0</v>
      </c>
      <c r="N46">
        <v>0</v>
      </c>
      <c r="O46">
        <v>0</v>
      </c>
      <c r="P46">
        <v>3</v>
      </c>
      <c r="Q46">
        <v>35</v>
      </c>
      <c r="R46">
        <v>13</v>
      </c>
      <c r="S46">
        <v>4</v>
      </c>
      <c r="T46">
        <v>0</v>
      </c>
      <c r="U46">
        <v>1</v>
      </c>
      <c r="V46">
        <v>7</v>
      </c>
      <c r="W46">
        <v>28</v>
      </c>
      <c r="X46">
        <v>14</v>
      </c>
      <c r="Y46">
        <v>3</v>
      </c>
      <c r="Z46">
        <v>0</v>
      </c>
      <c r="AA46">
        <v>0</v>
      </c>
      <c r="AB46">
        <v>12</v>
      </c>
      <c r="AC46">
        <v>5</v>
      </c>
      <c r="AD46">
        <v>15</v>
      </c>
      <c r="AE46">
        <v>0</v>
      </c>
      <c r="AF46">
        <v>0</v>
      </c>
      <c r="AG46">
        <v>1</v>
      </c>
      <c r="AH46">
        <f t="shared" si="2"/>
        <v>6.870967741935484</v>
      </c>
      <c r="AI46">
        <f t="shared" si="3"/>
        <v>11</v>
      </c>
    </row>
    <row r="47" spans="2:35" x14ac:dyDescent="0.25">
      <c r="B47" t="s">
        <v>78</v>
      </c>
      <c r="C47">
        <v>0</v>
      </c>
      <c r="D47">
        <v>0</v>
      </c>
      <c r="E47">
        <v>0</v>
      </c>
      <c r="F47">
        <v>0</v>
      </c>
      <c r="G47">
        <v>46</v>
      </c>
      <c r="H47">
        <v>48</v>
      </c>
      <c r="I47">
        <v>43</v>
      </c>
      <c r="J47">
        <v>34</v>
      </c>
      <c r="K47">
        <v>48</v>
      </c>
      <c r="L47">
        <v>0</v>
      </c>
      <c r="M47">
        <v>0</v>
      </c>
      <c r="N47">
        <v>0</v>
      </c>
      <c r="O47">
        <v>8</v>
      </c>
      <c r="P47">
        <v>25</v>
      </c>
      <c r="Q47">
        <v>32</v>
      </c>
      <c r="R47">
        <v>21</v>
      </c>
      <c r="S47">
        <v>0</v>
      </c>
      <c r="T47">
        <v>0</v>
      </c>
      <c r="U47">
        <v>27</v>
      </c>
      <c r="V47">
        <v>42</v>
      </c>
      <c r="W47">
        <v>26</v>
      </c>
      <c r="X47">
        <v>27</v>
      </c>
      <c r="Y47">
        <v>53</v>
      </c>
      <c r="Z47">
        <v>6</v>
      </c>
      <c r="AA47">
        <v>0</v>
      </c>
      <c r="AB47">
        <v>42</v>
      </c>
      <c r="AC47">
        <v>39</v>
      </c>
      <c r="AD47">
        <v>57</v>
      </c>
      <c r="AE47">
        <v>0</v>
      </c>
      <c r="AF47">
        <v>16</v>
      </c>
      <c r="AG47">
        <v>0</v>
      </c>
      <c r="AH47">
        <f t="shared" si="2"/>
        <v>20.64516129032258</v>
      </c>
      <c r="AI47">
        <f t="shared" si="3"/>
        <v>12</v>
      </c>
    </row>
    <row r="48" spans="2:35" x14ac:dyDescent="0.25">
      <c r="B48" t="s">
        <v>133</v>
      </c>
      <c r="C48">
        <v>0</v>
      </c>
      <c r="D48">
        <v>12</v>
      </c>
      <c r="E48">
        <v>1</v>
      </c>
      <c r="F48">
        <v>0</v>
      </c>
      <c r="G48">
        <v>4</v>
      </c>
      <c r="H48">
        <v>1</v>
      </c>
      <c r="I48">
        <v>4</v>
      </c>
      <c r="J48">
        <v>5</v>
      </c>
      <c r="K48">
        <v>6</v>
      </c>
      <c r="L48">
        <v>3</v>
      </c>
      <c r="M48">
        <v>0</v>
      </c>
      <c r="N48">
        <v>0</v>
      </c>
      <c r="O48">
        <v>0</v>
      </c>
      <c r="P48">
        <v>6</v>
      </c>
      <c r="Q48">
        <v>7</v>
      </c>
      <c r="R48">
        <v>7</v>
      </c>
      <c r="S48">
        <v>0</v>
      </c>
      <c r="T48">
        <v>0</v>
      </c>
      <c r="U48">
        <v>0</v>
      </c>
      <c r="V48">
        <v>2</v>
      </c>
      <c r="W48">
        <v>8</v>
      </c>
      <c r="X48">
        <v>12</v>
      </c>
      <c r="Y48">
        <v>5</v>
      </c>
      <c r="Z48">
        <v>3</v>
      </c>
      <c r="AA48">
        <v>0</v>
      </c>
      <c r="AB48">
        <v>20</v>
      </c>
      <c r="AC48">
        <v>18</v>
      </c>
      <c r="AD48">
        <v>45</v>
      </c>
      <c r="AE48">
        <v>0</v>
      </c>
      <c r="AF48">
        <v>0</v>
      </c>
      <c r="AG48">
        <v>0</v>
      </c>
      <c r="AH48">
        <f t="shared" si="2"/>
        <v>5.4516129032258061</v>
      </c>
      <c r="AI48">
        <f t="shared" si="3"/>
        <v>12</v>
      </c>
    </row>
    <row r="49" spans="2:35" x14ac:dyDescent="0.25">
      <c r="B49" t="s">
        <v>167</v>
      </c>
      <c r="C49">
        <v>0</v>
      </c>
      <c r="D49">
        <v>5</v>
      </c>
      <c r="E49">
        <v>0</v>
      </c>
      <c r="F49">
        <v>0</v>
      </c>
      <c r="G49">
        <v>14</v>
      </c>
      <c r="H49">
        <v>8</v>
      </c>
      <c r="I49">
        <v>3</v>
      </c>
      <c r="J49">
        <v>7</v>
      </c>
      <c r="K49">
        <v>1</v>
      </c>
      <c r="L49">
        <v>0</v>
      </c>
      <c r="M49">
        <v>0</v>
      </c>
      <c r="N49">
        <v>0</v>
      </c>
      <c r="O49">
        <v>4</v>
      </c>
      <c r="P49">
        <v>6</v>
      </c>
      <c r="Q49">
        <v>7</v>
      </c>
      <c r="R49">
        <v>5</v>
      </c>
      <c r="S49">
        <v>0</v>
      </c>
      <c r="T49">
        <v>0</v>
      </c>
      <c r="U49">
        <v>2</v>
      </c>
      <c r="V49">
        <v>2</v>
      </c>
      <c r="W49">
        <v>3</v>
      </c>
      <c r="X49">
        <v>11</v>
      </c>
      <c r="Y49">
        <v>4</v>
      </c>
      <c r="Z49">
        <v>0</v>
      </c>
      <c r="AA49">
        <v>0</v>
      </c>
      <c r="AB49">
        <v>28</v>
      </c>
      <c r="AC49">
        <v>20</v>
      </c>
      <c r="AD49">
        <v>6</v>
      </c>
      <c r="AE49">
        <v>0</v>
      </c>
      <c r="AF49">
        <v>2</v>
      </c>
      <c r="AG49">
        <v>0</v>
      </c>
      <c r="AH49">
        <f t="shared" si="2"/>
        <v>4.4516129032258061</v>
      </c>
      <c r="AI49">
        <f t="shared" si="3"/>
        <v>12</v>
      </c>
    </row>
    <row r="50" spans="2:35" x14ac:dyDescent="0.25">
      <c r="B50" t="s">
        <v>182</v>
      </c>
      <c r="C50">
        <v>0</v>
      </c>
      <c r="D50">
        <v>14</v>
      </c>
      <c r="E50">
        <v>0</v>
      </c>
      <c r="F50">
        <v>0</v>
      </c>
      <c r="G50">
        <v>17</v>
      </c>
      <c r="H50">
        <v>21</v>
      </c>
      <c r="I50">
        <v>26</v>
      </c>
      <c r="J50">
        <v>22</v>
      </c>
      <c r="K50">
        <v>11</v>
      </c>
      <c r="L50">
        <v>1</v>
      </c>
      <c r="M50">
        <v>0</v>
      </c>
      <c r="N50">
        <v>0</v>
      </c>
      <c r="O50">
        <v>0</v>
      </c>
      <c r="P50">
        <v>48</v>
      </c>
      <c r="Q50">
        <v>3</v>
      </c>
      <c r="R50">
        <v>10</v>
      </c>
      <c r="S50">
        <v>0</v>
      </c>
      <c r="T50">
        <v>0</v>
      </c>
      <c r="U50">
        <v>3</v>
      </c>
      <c r="V50">
        <v>31</v>
      </c>
      <c r="W50">
        <v>22</v>
      </c>
      <c r="X50">
        <v>8</v>
      </c>
      <c r="Y50">
        <v>7</v>
      </c>
      <c r="Z50">
        <v>0</v>
      </c>
      <c r="AA50">
        <v>0</v>
      </c>
      <c r="AB50">
        <v>15</v>
      </c>
      <c r="AC50">
        <v>4</v>
      </c>
      <c r="AD50">
        <v>70</v>
      </c>
      <c r="AE50">
        <v>0</v>
      </c>
      <c r="AF50">
        <v>2</v>
      </c>
      <c r="AG50">
        <v>0</v>
      </c>
      <c r="AH50">
        <f t="shared" si="2"/>
        <v>10.806451612903226</v>
      </c>
      <c r="AI50">
        <f t="shared" si="3"/>
        <v>12</v>
      </c>
    </row>
    <row r="51" spans="2:35" x14ac:dyDescent="0.25">
      <c r="B51" t="s">
        <v>192</v>
      </c>
      <c r="C51">
        <v>0</v>
      </c>
      <c r="D51">
        <v>17</v>
      </c>
      <c r="E51">
        <v>0</v>
      </c>
      <c r="F51">
        <v>0</v>
      </c>
      <c r="G51">
        <v>31</v>
      </c>
      <c r="H51">
        <v>17</v>
      </c>
      <c r="I51">
        <v>21</v>
      </c>
      <c r="J51">
        <v>23</v>
      </c>
      <c r="K51">
        <v>36</v>
      </c>
      <c r="L51">
        <v>18</v>
      </c>
      <c r="M51">
        <v>0</v>
      </c>
      <c r="N51">
        <v>0</v>
      </c>
      <c r="O51">
        <v>0</v>
      </c>
      <c r="P51">
        <v>17</v>
      </c>
      <c r="Q51">
        <v>29</v>
      </c>
      <c r="R51">
        <v>32</v>
      </c>
      <c r="S51">
        <v>9</v>
      </c>
      <c r="T51">
        <v>0</v>
      </c>
      <c r="U51">
        <v>37</v>
      </c>
      <c r="V51">
        <v>15</v>
      </c>
      <c r="W51">
        <v>40</v>
      </c>
      <c r="X51">
        <v>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58</v>
      </c>
      <c r="AE51">
        <v>10</v>
      </c>
      <c r="AF51">
        <v>17</v>
      </c>
      <c r="AG51">
        <v>3</v>
      </c>
      <c r="AH51">
        <f t="shared" si="2"/>
        <v>14.129032258064516</v>
      </c>
      <c r="AI51">
        <f t="shared" si="3"/>
        <v>12</v>
      </c>
    </row>
    <row r="52" spans="2:35" x14ac:dyDescent="0.25">
      <c r="B52" t="s">
        <v>86</v>
      </c>
      <c r="C52">
        <v>0</v>
      </c>
      <c r="D52">
        <v>4</v>
      </c>
      <c r="E52">
        <v>0</v>
      </c>
      <c r="F52">
        <v>0</v>
      </c>
      <c r="G52">
        <v>2</v>
      </c>
      <c r="H52">
        <v>2</v>
      </c>
      <c r="I52">
        <v>4</v>
      </c>
      <c r="J52">
        <v>5</v>
      </c>
      <c r="K52">
        <v>0</v>
      </c>
      <c r="L52">
        <v>0</v>
      </c>
      <c r="M52">
        <v>0</v>
      </c>
      <c r="N52">
        <v>0</v>
      </c>
      <c r="O52">
        <v>2</v>
      </c>
      <c r="P52">
        <v>2</v>
      </c>
      <c r="Q52">
        <v>8</v>
      </c>
      <c r="R52">
        <v>3</v>
      </c>
      <c r="S52">
        <v>1</v>
      </c>
      <c r="T52">
        <v>1</v>
      </c>
      <c r="U52">
        <v>5</v>
      </c>
      <c r="V52">
        <v>1</v>
      </c>
      <c r="W52">
        <v>8</v>
      </c>
      <c r="X52">
        <v>3</v>
      </c>
      <c r="Y52">
        <v>0</v>
      </c>
      <c r="Z52">
        <v>0</v>
      </c>
      <c r="AA52">
        <v>0</v>
      </c>
      <c r="AB52">
        <v>2</v>
      </c>
      <c r="AC52">
        <v>5</v>
      </c>
      <c r="AD52">
        <v>4</v>
      </c>
      <c r="AE52">
        <v>0</v>
      </c>
      <c r="AF52">
        <v>0</v>
      </c>
      <c r="AG52">
        <v>0</v>
      </c>
      <c r="AH52">
        <f t="shared" si="2"/>
        <v>2</v>
      </c>
      <c r="AI52">
        <f t="shared" si="3"/>
        <v>13</v>
      </c>
    </row>
    <row r="53" spans="2:35" x14ac:dyDescent="0.25">
      <c r="B53" t="s">
        <v>77</v>
      </c>
      <c r="C53">
        <v>0</v>
      </c>
      <c r="D53">
        <v>1</v>
      </c>
      <c r="E53">
        <v>0</v>
      </c>
      <c r="F53">
        <v>0</v>
      </c>
      <c r="G53">
        <v>3</v>
      </c>
      <c r="H53">
        <v>1</v>
      </c>
      <c r="I53">
        <v>11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8</v>
      </c>
      <c r="Q53">
        <v>5</v>
      </c>
      <c r="R53">
        <v>2</v>
      </c>
      <c r="S53">
        <v>0</v>
      </c>
      <c r="T53">
        <v>0</v>
      </c>
      <c r="U53">
        <v>6</v>
      </c>
      <c r="V53">
        <v>3</v>
      </c>
      <c r="W53">
        <v>5</v>
      </c>
      <c r="X53">
        <v>7</v>
      </c>
      <c r="Y53">
        <v>18</v>
      </c>
      <c r="Z53">
        <v>3</v>
      </c>
      <c r="AA53">
        <v>0</v>
      </c>
      <c r="AB53">
        <v>6</v>
      </c>
      <c r="AC53">
        <v>64</v>
      </c>
      <c r="AD53">
        <v>16</v>
      </c>
      <c r="AE53">
        <v>0</v>
      </c>
      <c r="AF53">
        <v>0</v>
      </c>
      <c r="AG53">
        <v>0</v>
      </c>
      <c r="AH53">
        <f t="shared" si="2"/>
        <v>5.193548387096774</v>
      </c>
      <c r="AI53">
        <f t="shared" si="3"/>
        <v>14</v>
      </c>
    </row>
    <row r="54" spans="2:35" x14ac:dyDescent="0.25">
      <c r="B54" t="s">
        <v>109</v>
      </c>
      <c r="C54">
        <v>0</v>
      </c>
      <c r="D54">
        <v>5</v>
      </c>
      <c r="E54">
        <v>0</v>
      </c>
      <c r="F54">
        <v>0</v>
      </c>
      <c r="G54">
        <v>0</v>
      </c>
      <c r="H54">
        <v>0</v>
      </c>
      <c r="I54">
        <v>21</v>
      </c>
      <c r="J54">
        <v>7</v>
      </c>
      <c r="K54">
        <v>12</v>
      </c>
      <c r="L54">
        <v>0</v>
      </c>
      <c r="M54">
        <v>0</v>
      </c>
      <c r="N54">
        <v>0</v>
      </c>
      <c r="O54">
        <v>0</v>
      </c>
      <c r="P54">
        <v>12</v>
      </c>
      <c r="Q54">
        <v>9</v>
      </c>
      <c r="R54">
        <v>11</v>
      </c>
      <c r="S54">
        <v>0</v>
      </c>
      <c r="T54">
        <v>0</v>
      </c>
      <c r="U54">
        <v>12</v>
      </c>
      <c r="V54">
        <v>12</v>
      </c>
      <c r="W54">
        <v>1</v>
      </c>
      <c r="X54">
        <v>4</v>
      </c>
      <c r="Y54">
        <v>14</v>
      </c>
      <c r="Z54">
        <v>1</v>
      </c>
      <c r="AA54">
        <v>0</v>
      </c>
      <c r="AB54">
        <v>5</v>
      </c>
      <c r="AC54">
        <v>18</v>
      </c>
      <c r="AD54">
        <v>11</v>
      </c>
      <c r="AE54">
        <v>0</v>
      </c>
      <c r="AF54">
        <v>0</v>
      </c>
      <c r="AG54">
        <v>1</v>
      </c>
      <c r="AH54">
        <f t="shared" si="2"/>
        <v>5.032258064516129</v>
      </c>
      <c r="AI54">
        <f t="shared" si="3"/>
        <v>14</v>
      </c>
    </row>
    <row r="55" spans="2:35" x14ac:dyDescent="0.25">
      <c r="B55" t="s">
        <v>119</v>
      </c>
      <c r="C55">
        <v>0</v>
      </c>
      <c r="D55">
        <v>19</v>
      </c>
      <c r="E55">
        <v>0</v>
      </c>
      <c r="F55">
        <v>0</v>
      </c>
      <c r="G55">
        <v>9</v>
      </c>
      <c r="H55">
        <v>4</v>
      </c>
      <c r="I55">
        <v>11</v>
      </c>
      <c r="J55">
        <v>32</v>
      </c>
      <c r="K55">
        <v>7</v>
      </c>
      <c r="L55">
        <v>0</v>
      </c>
      <c r="M55">
        <v>0</v>
      </c>
      <c r="N55">
        <v>0</v>
      </c>
      <c r="O55">
        <v>0</v>
      </c>
      <c r="P55">
        <v>14</v>
      </c>
      <c r="Q55">
        <v>26</v>
      </c>
      <c r="R55">
        <v>12</v>
      </c>
      <c r="S55">
        <v>0</v>
      </c>
      <c r="T55">
        <v>0</v>
      </c>
      <c r="U55">
        <v>23</v>
      </c>
      <c r="V55">
        <v>13</v>
      </c>
      <c r="W55">
        <v>9</v>
      </c>
      <c r="X55">
        <v>5</v>
      </c>
      <c r="Y55">
        <v>20</v>
      </c>
      <c r="Z55">
        <v>0</v>
      </c>
      <c r="AA55">
        <v>0</v>
      </c>
      <c r="AB55">
        <v>18</v>
      </c>
      <c r="AC55">
        <v>19</v>
      </c>
      <c r="AD55">
        <v>4</v>
      </c>
      <c r="AE55">
        <v>0</v>
      </c>
      <c r="AF55">
        <v>0</v>
      </c>
      <c r="AG55">
        <v>0</v>
      </c>
      <c r="AH55">
        <f t="shared" si="2"/>
        <v>7.903225806451613</v>
      </c>
      <c r="AI55">
        <f t="shared" si="3"/>
        <v>14</v>
      </c>
    </row>
    <row r="56" spans="2:35" x14ac:dyDescent="0.25">
      <c r="B56" t="s">
        <v>131</v>
      </c>
      <c r="C56">
        <v>0</v>
      </c>
      <c r="D56">
        <v>8</v>
      </c>
      <c r="E56">
        <v>0</v>
      </c>
      <c r="F56">
        <v>0</v>
      </c>
      <c r="G56">
        <v>6</v>
      </c>
      <c r="H56">
        <v>7</v>
      </c>
      <c r="I56">
        <v>2</v>
      </c>
      <c r="J56">
        <v>4</v>
      </c>
      <c r="K56">
        <v>3</v>
      </c>
      <c r="L56">
        <v>0</v>
      </c>
      <c r="M56">
        <v>0</v>
      </c>
      <c r="N56">
        <v>0</v>
      </c>
      <c r="O56">
        <v>0</v>
      </c>
      <c r="P56">
        <v>13</v>
      </c>
      <c r="Q56">
        <v>8</v>
      </c>
      <c r="R56">
        <v>4</v>
      </c>
      <c r="S56">
        <v>0</v>
      </c>
      <c r="T56">
        <v>0</v>
      </c>
      <c r="U56">
        <v>3</v>
      </c>
      <c r="V56">
        <v>2</v>
      </c>
      <c r="W56">
        <v>4</v>
      </c>
      <c r="X56">
        <v>19</v>
      </c>
      <c r="Y56">
        <v>6</v>
      </c>
      <c r="Z56">
        <v>0</v>
      </c>
      <c r="AA56">
        <v>0</v>
      </c>
      <c r="AB56">
        <v>3</v>
      </c>
      <c r="AC56">
        <v>2</v>
      </c>
      <c r="AD56">
        <v>14</v>
      </c>
      <c r="AE56">
        <v>0</v>
      </c>
      <c r="AF56">
        <v>0</v>
      </c>
      <c r="AG56">
        <v>0</v>
      </c>
      <c r="AH56">
        <f t="shared" si="2"/>
        <v>3.4838709677419355</v>
      </c>
      <c r="AI56">
        <f t="shared" si="3"/>
        <v>14</v>
      </c>
    </row>
    <row r="57" spans="2:35" x14ac:dyDescent="0.25">
      <c r="B57" t="s">
        <v>136</v>
      </c>
      <c r="C57">
        <v>0</v>
      </c>
      <c r="D57">
        <v>4</v>
      </c>
      <c r="E57">
        <v>0</v>
      </c>
      <c r="F57">
        <v>0</v>
      </c>
      <c r="G57">
        <v>21</v>
      </c>
      <c r="H57">
        <v>4</v>
      </c>
      <c r="I57">
        <v>7</v>
      </c>
      <c r="J57">
        <v>5</v>
      </c>
      <c r="K57">
        <v>2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5</v>
      </c>
      <c r="S57">
        <v>0</v>
      </c>
      <c r="T57">
        <v>0</v>
      </c>
      <c r="U57">
        <v>8</v>
      </c>
      <c r="V57">
        <v>4</v>
      </c>
      <c r="W57">
        <v>1</v>
      </c>
      <c r="X57">
        <v>13</v>
      </c>
      <c r="Y57">
        <v>1</v>
      </c>
      <c r="Z57">
        <v>0</v>
      </c>
      <c r="AA57">
        <v>0</v>
      </c>
      <c r="AB57">
        <v>17</v>
      </c>
      <c r="AC57">
        <v>6</v>
      </c>
      <c r="AD57">
        <v>13</v>
      </c>
      <c r="AE57">
        <v>0</v>
      </c>
      <c r="AF57">
        <v>1</v>
      </c>
      <c r="AG57">
        <v>0</v>
      </c>
      <c r="AH57">
        <f t="shared" si="2"/>
        <v>3.6774193548387095</v>
      </c>
      <c r="AI57">
        <f t="shared" si="3"/>
        <v>14</v>
      </c>
    </row>
    <row r="58" spans="2:35" x14ac:dyDescent="0.25">
      <c r="B58" t="s">
        <v>170</v>
      </c>
      <c r="C58">
        <v>0</v>
      </c>
      <c r="D58">
        <v>5</v>
      </c>
      <c r="E58">
        <v>0</v>
      </c>
      <c r="F58">
        <v>0</v>
      </c>
      <c r="G58">
        <v>5</v>
      </c>
      <c r="H58">
        <v>1</v>
      </c>
      <c r="I58">
        <v>2</v>
      </c>
      <c r="J58">
        <v>1</v>
      </c>
      <c r="K58">
        <v>4</v>
      </c>
      <c r="L58">
        <v>0</v>
      </c>
      <c r="M58">
        <v>0</v>
      </c>
      <c r="N58">
        <v>0</v>
      </c>
      <c r="O58">
        <v>0</v>
      </c>
      <c r="P58">
        <v>2</v>
      </c>
      <c r="Q58">
        <v>5</v>
      </c>
      <c r="R58">
        <v>8</v>
      </c>
      <c r="S58">
        <v>0</v>
      </c>
      <c r="T58">
        <v>0</v>
      </c>
      <c r="U58">
        <v>4</v>
      </c>
      <c r="V58">
        <v>14</v>
      </c>
      <c r="W58">
        <v>26</v>
      </c>
      <c r="X58">
        <v>0</v>
      </c>
      <c r="Y58">
        <v>5</v>
      </c>
      <c r="Z58">
        <v>1</v>
      </c>
      <c r="AA58">
        <v>0</v>
      </c>
      <c r="AB58">
        <v>16</v>
      </c>
      <c r="AC58">
        <v>4</v>
      </c>
      <c r="AD58">
        <v>8</v>
      </c>
      <c r="AE58">
        <v>0</v>
      </c>
      <c r="AF58">
        <v>0</v>
      </c>
      <c r="AG58">
        <v>0</v>
      </c>
      <c r="AH58">
        <f t="shared" si="2"/>
        <v>3.5806451612903225</v>
      </c>
      <c r="AI58">
        <f t="shared" si="3"/>
        <v>14</v>
      </c>
    </row>
    <row r="59" spans="2:35" x14ac:dyDescent="0.25">
      <c r="B59" t="s">
        <v>210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4</v>
      </c>
      <c r="R59">
        <v>3</v>
      </c>
      <c r="S59">
        <v>0</v>
      </c>
      <c r="T59">
        <v>0</v>
      </c>
      <c r="U59">
        <v>4</v>
      </c>
      <c r="V59">
        <v>10</v>
      </c>
      <c r="W59">
        <v>7</v>
      </c>
      <c r="X59">
        <v>3</v>
      </c>
      <c r="Y59">
        <v>4</v>
      </c>
      <c r="Z59">
        <v>3</v>
      </c>
      <c r="AA59">
        <v>3</v>
      </c>
      <c r="AB59">
        <v>9</v>
      </c>
      <c r="AC59">
        <v>6</v>
      </c>
      <c r="AD59">
        <v>4</v>
      </c>
      <c r="AE59">
        <v>3</v>
      </c>
      <c r="AF59">
        <v>3</v>
      </c>
      <c r="AG59">
        <v>3</v>
      </c>
      <c r="AH59">
        <f t="shared" si="2"/>
        <v>2.2903225806451615</v>
      </c>
      <c r="AI59">
        <f t="shared" si="3"/>
        <v>15</v>
      </c>
    </row>
    <row r="60" spans="2:35" x14ac:dyDescent="0.25">
      <c r="B60" t="s">
        <v>93</v>
      </c>
      <c r="C60">
        <v>0</v>
      </c>
      <c r="D60">
        <v>1</v>
      </c>
      <c r="E60">
        <v>0</v>
      </c>
      <c r="F60">
        <v>0</v>
      </c>
      <c r="G60">
        <v>4</v>
      </c>
      <c r="H60">
        <v>1</v>
      </c>
      <c r="I60">
        <v>2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4</v>
      </c>
      <c r="R60">
        <v>0</v>
      </c>
      <c r="S60">
        <v>0</v>
      </c>
      <c r="T60">
        <v>0</v>
      </c>
      <c r="U60">
        <v>3</v>
      </c>
      <c r="V60">
        <v>3</v>
      </c>
      <c r="W60">
        <v>1</v>
      </c>
      <c r="X60">
        <v>1</v>
      </c>
      <c r="Y60">
        <v>1</v>
      </c>
      <c r="Z60">
        <v>0</v>
      </c>
      <c r="AA60">
        <v>0</v>
      </c>
      <c r="AB60">
        <v>10</v>
      </c>
      <c r="AC60">
        <v>8</v>
      </c>
      <c r="AD60">
        <v>2</v>
      </c>
      <c r="AE60">
        <v>0</v>
      </c>
      <c r="AF60">
        <v>0</v>
      </c>
      <c r="AG60">
        <v>0</v>
      </c>
      <c r="AH60">
        <f t="shared" si="2"/>
        <v>1.5161290322580645</v>
      </c>
      <c r="AI60">
        <f t="shared" si="3"/>
        <v>16</v>
      </c>
    </row>
    <row r="61" spans="2:35" x14ac:dyDescent="0.25">
      <c r="B61" t="s">
        <v>96</v>
      </c>
      <c r="C61">
        <v>1</v>
      </c>
      <c r="D61">
        <v>1</v>
      </c>
      <c r="E61">
        <v>0</v>
      </c>
      <c r="F61">
        <v>0</v>
      </c>
      <c r="G61">
        <v>1</v>
      </c>
      <c r="H61">
        <v>3</v>
      </c>
      <c r="I61">
        <v>1</v>
      </c>
      <c r="J61">
        <v>2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4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f t="shared" si="2"/>
        <v>0.64516129032258063</v>
      </c>
      <c r="AI61">
        <f t="shared" si="3"/>
        <v>17</v>
      </c>
    </row>
    <row r="62" spans="2:35" x14ac:dyDescent="0.25">
      <c r="B62" t="s">
        <v>138</v>
      </c>
      <c r="C62">
        <v>0</v>
      </c>
      <c r="D62">
        <v>2</v>
      </c>
      <c r="E62">
        <v>0</v>
      </c>
      <c r="F62">
        <v>0</v>
      </c>
      <c r="G62">
        <v>1</v>
      </c>
      <c r="H62">
        <v>4</v>
      </c>
      <c r="I62">
        <v>2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4</v>
      </c>
      <c r="V62">
        <v>0</v>
      </c>
      <c r="W62">
        <v>3</v>
      </c>
      <c r="X62">
        <v>1</v>
      </c>
      <c r="Y62">
        <v>0</v>
      </c>
      <c r="Z62">
        <v>0</v>
      </c>
      <c r="AA62">
        <v>0</v>
      </c>
      <c r="AB62">
        <v>1</v>
      </c>
      <c r="AC62">
        <v>3</v>
      </c>
      <c r="AD62">
        <v>3</v>
      </c>
      <c r="AE62">
        <v>0</v>
      </c>
      <c r="AF62">
        <v>0</v>
      </c>
      <c r="AG62">
        <v>0</v>
      </c>
      <c r="AH62">
        <f t="shared" si="2"/>
        <v>1.032258064516129</v>
      </c>
      <c r="AI62">
        <f t="shared" si="3"/>
        <v>18</v>
      </c>
    </row>
    <row r="63" spans="2:35" x14ac:dyDescent="0.25">
      <c r="B63" t="s">
        <v>99</v>
      </c>
      <c r="C63">
        <v>2</v>
      </c>
      <c r="D63">
        <v>2</v>
      </c>
      <c r="E63">
        <v>0</v>
      </c>
      <c r="F63">
        <v>0</v>
      </c>
      <c r="G63">
        <v>0</v>
      </c>
      <c r="H63">
        <v>2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15</v>
      </c>
      <c r="Z63">
        <v>0</v>
      </c>
      <c r="AA63">
        <v>21</v>
      </c>
      <c r="AB63">
        <v>5</v>
      </c>
      <c r="AC63">
        <v>5</v>
      </c>
      <c r="AD63">
        <v>3</v>
      </c>
      <c r="AE63">
        <v>4</v>
      </c>
      <c r="AF63">
        <v>3</v>
      </c>
      <c r="AG63">
        <v>0</v>
      </c>
      <c r="AH63">
        <f t="shared" si="2"/>
        <v>2.129032258064516</v>
      </c>
      <c r="AI63">
        <f t="shared" si="3"/>
        <v>19</v>
      </c>
    </row>
    <row r="64" spans="2:35" x14ac:dyDescent="0.25">
      <c r="B64" t="s">
        <v>104</v>
      </c>
      <c r="C64">
        <v>0</v>
      </c>
      <c r="D64">
        <v>7</v>
      </c>
      <c r="E64">
        <v>0</v>
      </c>
      <c r="F64">
        <v>0</v>
      </c>
      <c r="G64">
        <v>15</v>
      </c>
      <c r="H64">
        <v>4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3</v>
      </c>
      <c r="W64">
        <v>4</v>
      </c>
      <c r="X64">
        <v>35</v>
      </c>
      <c r="Y64">
        <v>6</v>
      </c>
      <c r="Z64">
        <v>0</v>
      </c>
      <c r="AA64">
        <v>0</v>
      </c>
      <c r="AB64">
        <v>14</v>
      </c>
      <c r="AC64">
        <v>19</v>
      </c>
      <c r="AD64">
        <v>2</v>
      </c>
      <c r="AE64">
        <v>0</v>
      </c>
      <c r="AF64">
        <v>0</v>
      </c>
      <c r="AG64">
        <v>0</v>
      </c>
      <c r="AH64">
        <f t="shared" si="2"/>
        <v>3.6451612903225805</v>
      </c>
      <c r="AI64">
        <f t="shared" si="3"/>
        <v>19</v>
      </c>
    </row>
    <row r="65" spans="2:35" x14ac:dyDescent="0.25">
      <c r="B65" t="s">
        <v>113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5</v>
      </c>
      <c r="Q65">
        <v>4</v>
      </c>
      <c r="R65">
        <v>5</v>
      </c>
      <c r="S65">
        <v>0</v>
      </c>
      <c r="T65">
        <v>0</v>
      </c>
      <c r="U65">
        <v>3</v>
      </c>
      <c r="V65">
        <v>64</v>
      </c>
      <c r="W65">
        <v>51</v>
      </c>
      <c r="X65">
        <v>2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f t="shared" si="2"/>
        <v>4.612903225806452</v>
      </c>
      <c r="AI65">
        <f t="shared" si="3"/>
        <v>19</v>
      </c>
    </row>
    <row r="66" spans="2:35" x14ac:dyDescent="0.25">
      <c r="B66" t="s">
        <v>116</v>
      </c>
      <c r="C66">
        <v>1</v>
      </c>
      <c r="D66">
        <v>1</v>
      </c>
      <c r="E66">
        <v>0</v>
      </c>
      <c r="F66">
        <v>0</v>
      </c>
      <c r="G66">
        <v>2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2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1</v>
      </c>
      <c r="AH66">
        <f t="shared" ref="AH66:AH97" si="4">AVERAGE(C66:AG66)</f>
        <v>0.45161290322580644</v>
      </c>
      <c r="AI66">
        <f t="shared" ref="AI66:AI97" si="5">COUNTIF(C66:AG66,"0")</f>
        <v>19</v>
      </c>
    </row>
    <row r="67" spans="2:35" x14ac:dyDescent="0.25">
      <c r="B67" t="s">
        <v>87</v>
      </c>
      <c r="C67">
        <v>0</v>
      </c>
      <c r="D67">
        <v>1</v>
      </c>
      <c r="E67">
        <v>0</v>
      </c>
      <c r="F67">
        <v>0</v>
      </c>
      <c r="G67">
        <v>0</v>
      </c>
      <c r="H67">
        <v>3</v>
      </c>
      <c r="I67">
        <v>0</v>
      </c>
      <c r="J67">
        <v>13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2</v>
      </c>
      <c r="Z67">
        <v>0</v>
      </c>
      <c r="AA67">
        <v>0</v>
      </c>
      <c r="AB67">
        <v>6</v>
      </c>
      <c r="AC67">
        <v>1</v>
      </c>
      <c r="AD67">
        <v>9</v>
      </c>
      <c r="AE67">
        <v>0</v>
      </c>
      <c r="AF67">
        <v>0</v>
      </c>
      <c r="AG67">
        <v>0</v>
      </c>
      <c r="AH67">
        <f t="shared" si="4"/>
        <v>1.3548387096774193</v>
      </c>
      <c r="AI67">
        <f t="shared" si="5"/>
        <v>20</v>
      </c>
    </row>
    <row r="68" spans="2:35" x14ac:dyDescent="0.25">
      <c r="B68" t="s">
        <v>98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1</v>
      </c>
      <c r="AG68">
        <v>0</v>
      </c>
      <c r="AH68">
        <f t="shared" si="4"/>
        <v>0.38709677419354838</v>
      </c>
      <c r="AI68">
        <f t="shared" si="5"/>
        <v>21</v>
      </c>
    </row>
    <row r="69" spans="2:35" x14ac:dyDescent="0.25">
      <c r="B69" t="s">
        <v>160</v>
      </c>
      <c r="C69">
        <v>0</v>
      </c>
      <c r="D69">
        <v>0</v>
      </c>
      <c r="E69">
        <v>0</v>
      </c>
      <c r="F69">
        <v>0</v>
      </c>
      <c r="G69">
        <v>107</v>
      </c>
      <c r="H69">
        <v>0</v>
      </c>
      <c r="I69">
        <v>0</v>
      </c>
      <c r="J69">
        <v>139</v>
      </c>
      <c r="K69">
        <v>62</v>
      </c>
      <c r="L69">
        <v>0</v>
      </c>
      <c r="M69">
        <v>0</v>
      </c>
      <c r="N69">
        <v>0</v>
      </c>
      <c r="O69">
        <v>2013</v>
      </c>
      <c r="P69">
        <v>0</v>
      </c>
      <c r="Q69">
        <v>42</v>
      </c>
      <c r="R69">
        <v>22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0</v>
      </c>
      <c r="AH69">
        <f t="shared" si="4"/>
        <v>77.064516129032256</v>
      </c>
      <c r="AI69">
        <f t="shared" si="5"/>
        <v>21</v>
      </c>
    </row>
    <row r="70" spans="2:35" x14ac:dyDescent="0.25">
      <c r="B70" t="s">
        <v>31</v>
      </c>
      <c r="C70">
        <v>0</v>
      </c>
      <c r="D70">
        <v>6</v>
      </c>
      <c r="E70">
        <v>154</v>
      </c>
      <c r="F70">
        <v>172</v>
      </c>
      <c r="G70">
        <v>46</v>
      </c>
      <c r="H70">
        <v>1118</v>
      </c>
      <c r="I70">
        <v>0</v>
      </c>
      <c r="J70">
        <v>104</v>
      </c>
      <c r="K70">
        <v>23</v>
      </c>
      <c r="L70">
        <v>0</v>
      </c>
      <c r="M70">
        <v>0</v>
      </c>
      <c r="N70">
        <v>0</v>
      </c>
      <c r="O70">
        <v>0</v>
      </c>
      <c r="P70">
        <v>0</v>
      </c>
      <c r="Q70">
        <v>5</v>
      </c>
      <c r="R70">
        <v>14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f t="shared" si="4"/>
        <v>52.967741935483872</v>
      </c>
      <c r="AI70">
        <f t="shared" si="5"/>
        <v>22</v>
      </c>
    </row>
    <row r="71" spans="2:35" x14ac:dyDescent="0.25">
      <c r="B71" t="s">
        <v>34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1</v>
      </c>
      <c r="AH71">
        <f t="shared" si="4"/>
        <v>0.41935483870967744</v>
      </c>
      <c r="AI71">
        <f t="shared" si="5"/>
        <v>22</v>
      </c>
    </row>
    <row r="72" spans="2:35" x14ac:dyDescent="0.25">
      <c r="B72" t="s">
        <v>62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3</v>
      </c>
      <c r="Y72">
        <v>2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1</v>
      </c>
      <c r="AH72">
        <f t="shared" si="4"/>
        <v>0.41935483870967744</v>
      </c>
      <c r="AI72">
        <f t="shared" si="5"/>
        <v>22</v>
      </c>
    </row>
    <row r="73" spans="2:35" x14ac:dyDescent="0.25">
      <c r="B73" t="s">
        <v>140</v>
      </c>
      <c r="C73">
        <v>0</v>
      </c>
      <c r="D73">
        <v>0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2</v>
      </c>
      <c r="Q73">
        <v>3</v>
      </c>
      <c r="R73">
        <v>1</v>
      </c>
      <c r="S73">
        <v>0</v>
      </c>
      <c r="T73">
        <v>0</v>
      </c>
      <c r="U73">
        <v>2</v>
      </c>
      <c r="V73">
        <v>40</v>
      </c>
      <c r="W73">
        <v>0</v>
      </c>
      <c r="X73">
        <v>0</v>
      </c>
      <c r="Y73">
        <v>0</v>
      </c>
      <c r="Z73">
        <v>0</v>
      </c>
      <c r="AA73">
        <v>0</v>
      </c>
      <c r="AB73">
        <v>27</v>
      </c>
      <c r="AC73">
        <v>1</v>
      </c>
      <c r="AD73">
        <v>0</v>
      </c>
      <c r="AE73">
        <v>0</v>
      </c>
      <c r="AF73">
        <v>0</v>
      </c>
      <c r="AG73">
        <v>0</v>
      </c>
      <c r="AH73">
        <f t="shared" si="4"/>
        <v>2.5806451612903225</v>
      </c>
      <c r="AI73">
        <f t="shared" si="5"/>
        <v>22</v>
      </c>
    </row>
    <row r="74" spans="2:35" x14ac:dyDescent="0.25">
      <c r="B74" t="s">
        <v>144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f t="shared" si="4"/>
        <v>0.32258064516129031</v>
      </c>
      <c r="AI74">
        <f t="shared" si="5"/>
        <v>22</v>
      </c>
    </row>
    <row r="75" spans="2:35" x14ac:dyDescent="0.25">
      <c r="B75" t="s">
        <v>76</v>
      </c>
      <c r="C75">
        <v>0</v>
      </c>
      <c r="D75">
        <v>0</v>
      </c>
      <c r="E75">
        <v>0</v>
      </c>
      <c r="F75">
        <v>0</v>
      </c>
      <c r="G75">
        <v>3</v>
      </c>
      <c r="H75">
        <v>11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9</v>
      </c>
      <c r="S75">
        <v>0</v>
      </c>
      <c r="T75">
        <v>0</v>
      </c>
      <c r="U75">
        <v>0</v>
      </c>
      <c r="V75">
        <v>2</v>
      </c>
      <c r="W75">
        <v>0</v>
      </c>
      <c r="X75">
        <v>3</v>
      </c>
      <c r="Y75">
        <v>0</v>
      </c>
      <c r="Z75">
        <v>0</v>
      </c>
      <c r="AA75">
        <v>0</v>
      </c>
      <c r="AB75">
        <v>2</v>
      </c>
      <c r="AC75">
        <v>2</v>
      </c>
      <c r="AD75">
        <v>0</v>
      </c>
      <c r="AE75">
        <v>0</v>
      </c>
      <c r="AF75">
        <v>0</v>
      </c>
      <c r="AG75">
        <v>0</v>
      </c>
      <c r="AH75">
        <f t="shared" si="4"/>
        <v>1.064516129032258</v>
      </c>
      <c r="AI75">
        <f t="shared" si="5"/>
        <v>23</v>
      </c>
    </row>
    <row r="76" spans="2:35" x14ac:dyDescent="0.25">
      <c r="B76" t="s">
        <v>110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16</v>
      </c>
      <c r="Y76">
        <v>10</v>
      </c>
      <c r="Z76">
        <v>3</v>
      </c>
      <c r="AA76">
        <v>0</v>
      </c>
      <c r="AB76">
        <v>5</v>
      </c>
      <c r="AC76">
        <v>8</v>
      </c>
      <c r="AD76">
        <v>6</v>
      </c>
      <c r="AE76">
        <v>0</v>
      </c>
      <c r="AF76">
        <v>0</v>
      </c>
      <c r="AG76">
        <v>0</v>
      </c>
      <c r="AH76">
        <f t="shared" si="4"/>
        <v>1.6129032258064515</v>
      </c>
      <c r="AI76">
        <f t="shared" si="5"/>
        <v>24</v>
      </c>
    </row>
    <row r="77" spans="2:35" x14ac:dyDescent="0.25">
      <c r="B77" t="s">
        <v>130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53</v>
      </c>
      <c r="Z77">
        <v>30</v>
      </c>
      <c r="AA77">
        <v>6</v>
      </c>
      <c r="AB77">
        <v>120</v>
      </c>
      <c r="AC77">
        <v>124</v>
      </c>
      <c r="AD77">
        <v>52</v>
      </c>
      <c r="AE77">
        <v>0</v>
      </c>
      <c r="AF77">
        <v>0</v>
      </c>
      <c r="AG77">
        <v>5</v>
      </c>
      <c r="AH77">
        <f t="shared" si="4"/>
        <v>12.580645161290322</v>
      </c>
      <c r="AI77">
        <f t="shared" si="5"/>
        <v>24</v>
      </c>
    </row>
    <row r="78" spans="2:35" x14ac:dyDescent="0.25">
      <c r="B78" t="s">
        <v>193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2</v>
      </c>
      <c r="AD78">
        <v>0</v>
      </c>
      <c r="AE78">
        <v>0</v>
      </c>
      <c r="AF78">
        <v>2</v>
      </c>
      <c r="AG78">
        <v>0</v>
      </c>
      <c r="AH78">
        <f t="shared" si="4"/>
        <v>0.29032258064516131</v>
      </c>
      <c r="AI78">
        <f t="shared" si="5"/>
        <v>24</v>
      </c>
    </row>
    <row r="79" spans="2:35" x14ac:dyDescent="0.25">
      <c r="B79" t="s">
        <v>197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</v>
      </c>
      <c r="Y79">
        <v>5</v>
      </c>
      <c r="Z79">
        <v>3</v>
      </c>
      <c r="AA79">
        <v>0</v>
      </c>
      <c r="AB79">
        <v>20</v>
      </c>
      <c r="AC79">
        <v>9</v>
      </c>
      <c r="AD79">
        <v>9</v>
      </c>
      <c r="AE79">
        <v>0</v>
      </c>
      <c r="AF79">
        <v>0</v>
      </c>
      <c r="AG79">
        <v>0</v>
      </c>
      <c r="AH79">
        <f t="shared" si="4"/>
        <v>1.6451612903225807</v>
      </c>
      <c r="AI79">
        <f t="shared" si="5"/>
        <v>24</v>
      </c>
    </row>
    <row r="80" spans="2:35" x14ac:dyDescent="0.25">
      <c r="B80" t="s">
        <v>120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f t="shared" si="4"/>
        <v>0.19354838709677419</v>
      </c>
      <c r="AI80">
        <f t="shared" si="5"/>
        <v>25</v>
      </c>
    </row>
    <row r="81" spans="2:35" x14ac:dyDescent="0.25">
      <c r="B81" t="s">
        <v>127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f t="shared" si="4"/>
        <v>0.19354838709677419</v>
      </c>
      <c r="AI81">
        <f t="shared" si="5"/>
        <v>25</v>
      </c>
    </row>
    <row r="82" spans="2:35" x14ac:dyDescent="0.25">
      <c r="B82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f t="shared" si="4"/>
        <v>0.967741935483871</v>
      </c>
      <c r="AI82">
        <f t="shared" si="5"/>
        <v>25</v>
      </c>
    </row>
    <row r="83" spans="2:35" x14ac:dyDescent="0.25">
      <c r="B83" t="s">
        <v>36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5</v>
      </c>
      <c r="L83">
        <v>0</v>
      </c>
      <c r="M83">
        <v>0</v>
      </c>
      <c r="N83">
        <v>0</v>
      </c>
      <c r="O83">
        <v>0</v>
      </c>
      <c r="P83">
        <v>18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f t="shared" si="4"/>
        <v>1</v>
      </c>
      <c r="AI83">
        <f t="shared" si="5"/>
        <v>26</v>
      </c>
    </row>
    <row r="84" spans="2:35" x14ac:dyDescent="0.25">
      <c r="B84" t="s">
        <v>220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50</v>
      </c>
      <c r="Y84">
        <v>15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f t="shared" si="4"/>
        <v>2.2903225806451615</v>
      </c>
      <c r="AI84">
        <f t="shared" si="5"/>
        <v>26</v>
      </c>
    </row>
    <row r="85" spans="2:35" x14ac:dyDescent="0.25">
      <c r="B85" t="s">
        <v>49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32</v>
      </c>
      <c r="AC85">
        <v>40</v>
      </c>
      <c r="AD85">
        <v>36</v>
      </c>
      <c r="AE85">
        <v>4</v>
      </c>
      <c r="AF85">
        <v>0</v>
      </c>
      <c r="AG85">
        <v>0</v>
      </c>
      <c r="AH85">
        <f t="shared" si="4"/>
        <v>3.6129032258064515</v>
      </c>
      <c r="AI85">
        <f t="shared" si="5"/>
        <v>27</v>
      </c>
    </row>
    <row r="86" spans="2:35" x14ac:dyDescent="0.25">
      <c r="B86" t="s">
        <v>63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f t="shared" si="4"/>
        <v>0.12903225806451613</v>
      </c>
      <c r="AI86">
        <f t="shared" si="5"/>
        <v>27</v>
      </c>
    </row>
    <row r="87" spans="2:35" x14ac:dyDescent="0.25">
      <c r="B87" t="s">
        <v>80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</v>
      </c>
      <c r="AD87">
        <v>13</v>
      </c>
      <c r="AE87">
        <v>0</v>
      </c>
      <c r="AF87">
        <v>1</v>
      </c>
      <c r="AG87">
        <v>0</v>
      </c>
      <c r="AH87">
        <f t="shared" si="4"/>
        <v>0.54838709677419351</v>
      </c>
      <c r="AI87">
        <f t="shared" si="5"/>
        <v>28</v>
      </c>
    </row>
    <row r="88" spans="2:35" x14ac:dyDescent="0.25">
      <c r="B88" t="s">
        <v>84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f t="shared" si="4"/>
        <v>0.22580645161290322</v>
      </c>
      <c r="AI88">
        <f t="shared" si="5"/>
        <v>28</v>
      </c>
    </row>
    <row r="89" spans="2:35" x14ac:dyDescent="0.25">
      <c r="B89" t="s">
        <v>94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0</v>
      </c>
      <c r="AH89">
        <f t="shared" si="4"/>
        <v>0.12903225806451613</v>
      </c>
      <c r="AI89">
        <f t="shared" si="5"/>
        <v>28</v>
      </c>
    </row>
    <row r="90" spans="2:35" x14ac:dyDescent="0.25">
      <c r="B90" t="s">
        <v>151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f t="shared" si="4"/>
        <v>1.7096774193548387</v>
      </c>
      <c r="AI90">
        <f t="shared" si="5"/>
        <v>28</v>
      </c>
    </row>
    <row r="91" spans="2:35" x14ac:dyDescent="0.25">
      <c r="B91" t="s">
        <v>213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f t="shared" si="4"/>
        <v>0.12903225806451613</v>
      </c>
      <c r="AI91">
        <f t="shared" si="5"/>
        <v>28</v>
      </c>
    </row>
    <row r="92" spans="2:35" x14ac:dyDescent="0.25">
      <c r="B92" t="s">
        <v>48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5</v>
      </c>
      <c r="AD92">
        <v>0</v>
      </c>
      <c r="AE92">
        <v>0</v>
      </c>
      <c r="AF92">
        <v>0</v>
      </c>
      <c r="AG92">
        <v>0</v>
      </c>
      <c r="AH92">
        <f t="shared" si="4"/>
        <v>0.22580645161290322</v>
      </c>
      <c r="AI92">
        <f t="shared" si="5"/>
        <v>29</v>
      </c>
    </row>
    <row r="93" spans="2:35" x14ac:dyDescent="0.25">
      <c r="B93" t="s">
        <v>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f t="shared" si="4"/>
        <v>6.4516129032258063E-2</v>
      </c>
      <c r="AI93">
        <f t="shared" si="5"/>
        <v>29</v>
      </c>
    </row>
    <row r="94" spans="2:35" x14ac:dyDescent="0.25">
      <c r="B94" t="s">
        <v>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f t="shared" si="4"/>
        <v>6.4516129032258063E-2</v>
      </c>
      <c r="AI94">
        <f t="shared" si="5"/>
        <v>29</v>
      </c>
    </row>
    <row r="95" spans="2:35" x14ac:dyDescent="0.25">
      <c r="B95" t="s">
        <v>85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 t="shared" si="4"/>
        <v>6.4516129032258063E-2</v>
      </c>
      <c r="AI95">
        <f t="shared" si="5"/>
        <v>29</v>
      </c>
    </row>
    <row r="96" spans="2:35" x14ac:dyDescent="0.25">
      <c r="B96" t="s">
        <v>92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f t="shared" si="4"/>
        <v>0.87096774193548387</v>
      </c>
      <c r="AI96">
        <f t="shared" si="5"/>
        <v>29</v>
      </c>
    </row>
    <row r="97" spans="2:35" x14ac:dyDescent="0.25"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</v>
      </c>
      <c r="X97">
        <v>0</v>
      </c>
      <c r="Y97">
        <v>0</v>
      </c>
      <c r="Z97">
        <v>0</v>
      </c>
      <c r="AA97">
        <v>0</v>
      </c>
      <c r="AB97">
        <v>0</v>
      </c>
      <c r="AC97">
        <v>11</v>
      </c>
      <c r="AD97">
        <v>0</v>
      </c>
      <c r="AE97">
        <v>0</v>
      </c>
      <c r="AF97">
        <v>0</v>
      </c>
      <c r="AG97">
        <v>0</v>
      </c>
      <c r="AH97">
        <f t="shared" si="4"/>
        <v>0.61290322580645162</v>
      </c>
      <c r="AI97">
        <f t="shared" si="5"/>
        <v>29</v>
      </c>
    </row>
    <row r="98" spans="2:35" x14ac:dyDescent="0.25">
      <c r="B98" t="s">
        <v>101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 t="shared" ref="AH98:AH129" si="6">AVERAGE(C98:AG98)</f>
        <v>6.4516129032258063E-2</v>
      </c>
      <c r="AI98">
        <f t="shared" ref="AI98:AI129" si="7">COUNTIF(C98:AG98,"0")</f>
        <v>29</v>
      </c>
    </row>
    <row r="99" spans="2:35" x14ac:dyDescent="0.25">
      <c r="B99" t="s">
        <v>108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f t="shared" si="6"/>
        <v>6.4516129032258063E-2</v>
      </c>
      <c r="AI99">
        <f t="shared" si="7"/>
        <v>29</v>
      </c>
    </row>
    <row r="100" spans="2:35" x14ac:dyDescent="0.25">
      <c r="B100" t="s">
        <v>117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 t="shared" si="6"/>
        <v>0.12903225806451613</v>
      </c>
      <c r="AI100">
        <f t="shared" si="7"/>
        <v>29</v>
      </c>
    </row>
    <row r="101" spans="2:35" x14ac:dyDescent="0.25">
      <c r="B101" t="s">
        <v>141</v>
      </c>
      <c r="C101">
        <v>0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 t="shared" si="6"/>
        <v>0.25806451612903225</v>
      </c>
      <c r="AI101">
        <f t="shared" si="7"/>
        <v>29</v>
      </c>
    </row>
    <row r="102" spans="2:35" x14ac:dyDescent="0.25">
      <c r="B102" t="s">
        <v>148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f t="shared" si="6"/>
        <v>6.4516129032258063E-2</v>
      </c>
      <c r="AI102">
        <f t="shared" si="7"/>
        <v>29</v>
      </c>
    </row>
    <row r="103" spans="2:35" x14ac:dyDescent="0.25">
      <c r="B103" t="s">
        <v>181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 t="shared" si="6"/>
        <v>6.4516129032258063E-2</v>
      </c>
      <c r="AI103">
        <f t="shared" si="7"/>
        <v>29</v>
      </c>
    </row>
    <row r="104" spans="2:35" x14ac:dyDescent="0.25">
      <c r="B104" t="s">
        <v>191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f t="shared" si="6"/>
        <v>0.32258064516129031</v>
      </c>
      <c r="AI104">
        <f t="shared" si="7"/>
        <v>29</v>
      </c>
    </row>
    <row r="105" spans="2:35" x14ac:dyDescent="0.25">
      <c r="B105" t="s">
        <v>198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f t="shared" si="6"/>
        <v>6.4516129032258063E-2</v>
      </c>
      <c r="AI105">
        <f t="shared" si="7"/>
        <v>29</v>
      </c>
    </row>
    <row r="106" spans="2:35" x14ac:dyDescent="0.25">
      <c r="B106" t="s">
        <v>215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f t="shared" si="6"/>
        <v>6.4516129032258063E-2</v>
      </c>
      <c r="AI106">
        <f t="shared" si="7"/>
        <v>29</v>
      </c>
    </row>
    <row r="107" spans="2:35" x14ac:dyDescent="0.25">
      <c r="B107" t="s">
        <v>45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 t="shared" si="6"/>
        <v>3.2258064516129031E-2</v>
      </c>
      <c r="AI107">
        <f t="shared" si="7"/>
        <v>30</v>
      </c>
    </row>
    <row r="108" spans="2:35" x14ac:dyDescent="0.25">
      <c r="B108" t="s">
        <v>54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 t="shared" si="6"/>
        <v>3.2258064516129031E-2</v>
      </c>
      <c r="AI108">
        <f t="shared" si="7"/>
        <v>30</v>
      </c>
    </row>
    <row r="109" spans="2:35" x14ac:dyDescent="0.25"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f t="shared" si="6"/>
        <v>3.2258064516129031E-2</v>
      </c>
      <c r="AI109">
        <f t="shared" si="7"/>
        <v>30</v>
      </c>
    </row>
    <row r="110" spans="2:35" x14ac:dyDescent="0.25"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 t="shared" si="6"/>
        <v>6.4516129032258063E-2</v>
      </c>
      <c r="AI110">
        <f t="shared" si="7"/>
        <v>30</v>
      </c>
    </row>
    <row r="111" spans="2:35" x14ac:dyDescent="0.25">
      <c r="B111" t="s">
        <v>75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f t="shared" si="6"/>
        <v>9.6774193548387094E-2</v>
      </c>
      <c r="AI111">
        <f t="shared" si="7"/>
        <v>30</v>
      </c>
    </row>
    <row r="112" spans="2:35" x14ac:dyDescent="0.25">
      <c r="B112" t="s">
        <v>83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f t="shared" si="6"/>
        <v>6.4516129032258063E-2</v>
      </c>
      <c r="AI112">
        <f t="shared" si="7"/>
        <v>30</v>
      </c>
    </row>
    <row r="113" spans="2:35" x14ac:dyDescent="0.25">
      <c r="B113" t="s">
        <v>91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</v>
      </c>
      <c r="AD113">
        <v>0</v>
      </c>
      <c r="AE113">
        <v>0</v>
      </c>
      <c r="AF113">
        <v>0</v>
      </c>
      <c r="AG113">
        <v>0</v>
      </c>
      <c r="AH113">
        <f t="shared" si="6"/>
        <v>0.22580645161290322</v>
      </c>
      <c r="AI113">
        <f t="shared" si="7"/>
        <v>30</v>
      </c>
    </row>
    <row r="114" spans="2:35" x14ac:dyDescent="0.25">
      <c r="B114" t="s">
        <v>115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 t="shared" si="6"/>
        <v>3.2258064516129031E-2</v>
      </c>
      <c r="AI114">
        <f t="shared" si="7"/>
        <v>30</v>
      </c>
    </row>
    <row r="115" spans="2:35" x14ac:dyDescent="0.25">
      <c r="B115" t="s">
        <v>118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 t="shared" si="6"/>
        <v>3.2258064516129031E-2</v>
      </c>
      <c r="AI115">
        <f t="shared" si="7"/>
        <v>30</v>
      </c>
    </row>
    <row r="116" spans="2:35" x14ac:dyDescent="0.25">
      <c r="B116" t="s">
        <v>124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f t="shared" si="6"/>
        <v>3.2258064516129031E-2</v>
      </c>
      <c r="AI116">
        <f t="shared" si="7"/>
        <v>30</v>
      </c>
    </row>
    <row r="117" spans="2:35" x14ac:dyDescent="0.25">
      <c r="B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 t="shared" si="6"/>
        <v>3.2258064516129031E-2</v>
      </c>
      <c r="AI117">
        <f t="shared" si="7"/>
        <v>30</v>
      </c>
    </row>
    <row r="118" spans="2:35" x14ac:dyDescent="0.25">
      <c r="B118" t="s">
        <v>132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 t="shared" si="6"/>
        <v>3.2258064516129031E-2</v>
      </c>
      <c r="AI118">
        <f t="shared" si="7"/>
        <v>30</v>
      </c>
    </row>
    <row r="119" spans="2:35" x14ac:dyDescent="0.25">
      <c r="B119" t="s">
        <v>149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 t="shared" si="6"/>
        <v>3.2258064516129031E-2</v>
      </c>
      <c r="AI119">
        <f t="shared" si="7"/>
        <v>30</v>
      </c>
    </row>
    <row r="120" spans="2:35" x14ac:dyDescent="0.25">
      <c r="B120" t="s">
        <v>153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 t="shared" si="6"/>
        <v>3.2258064516129031E-2</v>
      </c>
      <c r="AI120">
        <f t="shared" si="7"/>
        <v>30</v>
      </c>
    </row>
    <row r="121" spans="2:35" x14ac:dyDescent="0.25">
      <c r="B121" t="s">
        <v>155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 t="shared" si="6"/>
        <v>0.83870967741935487</v>
      </c>
      <c r="AI121">
        <f t="shared" si="7"/>
        <v>30</v>
      </c>
    </row>
    <row r="122" spans="2:35" x14ac:dyDescent="0.25">
      <c r="B122" t="s">
        <v>156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f t="shared" si="6"/>
        <v>1</v>
      </c>
      <c r="AI122">
        <f t="shared" si="7"/>
        <v>30</v>
      </c>
    </row>
    <row r="123" spans="2:35" x14ac:dyDescent="0.25">
      <c r="B123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 t="shared" si="6"/>
        <v>3.2258064516129031E-2</v>
      </c>
      <c r="AI123">
        <f t="shared" si="7"/>
        <v>30</v>
      </c>
    </row>
    <row r="124" spans="2:35" x14ac:dyDescent="0.25">
      <c r="B124" t="s">
        <v>217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f t="shared" si="6"/>
        <v>6.4516129032258063E-2</v>
      </c>
      <c r="AI124">
        <f t="shared" si="7"/>
        <v>30</v>
      </c>
    </row>
    <row r="125" spans="2:35" x14ac:dyDescent="0.25">
      <c r="B125" t="s">
        <v>219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 t="shared" si="6"/>
        <v>3.2258064516129031E-2</v>
      </c>
      <c r="AI125">
        <f t="shared" si="7"/>
        <v>30</v>
      </c>
    </row>
    <row r="126" spans="2:35" x14ac:dyDescent="0.25">
      <c r="B126" t="s">
        <v>37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f t="shared" si="6"/>
        <v>0</v>
      </c>
      <c r="AI126">
        <f t="shared" si="7"/>
        <v>31</v>
      </c>
    </row>
    <row r="127" spans="2:35" x14ac:dyDescent="0.25">
      <c r="B127" t="s">
        <v>38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f t="shared" si="6"/>
        <v>0</v>
      </c>
      <c r="AI127">
        <f t="shared" si="7"/>
        <v>31</v>
      </c>
    </row>
    <row r="128" spans="2:35" x14ac:dyDescent="0.25">
      <c r="B128" t="s">
        <v>39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f t="shared" si="6"/>
        <v>0</v>
      </c>
      <c r="AI128">
        <f t="shared" si="7"/>
        <v>31</v>
      </c>
    </row>
    <row r="129" spans="2:35" x14ac:dyDescent="0.25">
      <c r="B129" t="s">
        <v>40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f t="shared" si="6"/>
        <v>0</v>
      </c>
      <c r="AI129">
        <f t="shared" si="7"/>
        <v>31</v>
      </c>
    </row>
    <row r="130" spans="2:35" x14ac:dyDescent="0.25">
      <c r="B130" t="s">
        <v>41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f t="shared" ref="AH130:AH161" si="8">AVERAGE(C130:AG130)</f>
        <v>0</v>
      </c>
      <c r="AI130">
        <f t="shared" ref="AI130:AI161" si="9">COUNTIF(C130:AG130,"0")</f>
        <v>31</v>
      </c>
    </row>
    <row r="131" spans="2:35" x14ac:dyDescent="0.25">
      <c r="B131" t="s">
        <v>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f t="shared" si="8"/>
        <v>0</v>
      </c>
      <c r="AI131">
        <f t="shared" si="9"/>
        <v>31</v>
      </c>
    </row>
    <row r="132" spans="2:35" x14ac:dyDescent="0.25">
      <c r="B132" t="s">
        <v>43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f t="shared" si="8"/>
        <v>0</v>
      </c>
      <c r="AI132">
        <f t="shared" si="9"/>
        <v>31</v>
      </c>
    </row>
    <row r="133" spans="2:35" x14ac:dyDescent="0.25">
      <c r="B133" t="s">
        <v>44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f t="shared" si="8"/>
        <v>0</v>
      </c>
      <c r="AI133">
        <f t="shared" si="9"/>
        <v>31</v>
      </c>
    </row>
    <row r="134" spans="2:35" x14ac:dyDescent="0.25">
      <c r="B134" t="s">
        <v>47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f t="shared" si="8"/>
        <v>0</v>
      </c>
      <c r="AI134">
        <f t="shared" si="9"/>
        <v>31</v>
      </c>
    </row>
    <row r="135" spans="2:35" x14ac:dyDescent="0.25">
      <c r="B135" t="s">
        <v>53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f t="shared" si="8"/>
        <v>0</v>
      </c>
      <c r="AI135">
        <f t="shared" si="9"/>
        <v>31</v>
      </c>
    </row>
    <row r="136" spans="2:35" x14ac:dyDescent="0.25">
      <c r="B136" t="s">
        <v>56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f t="shared" si="8"/>
        <v>0</v>
      </c>
      <c r="AI136">
        <f t="shared" si="9"/>
        <v>31</v>
      </c>
    </row>
    <row r="137" spans="2:35" x14ac:dyDescent="0.25">
      <c r="B137" t="s">
        <v>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f t="shared" si="8"/>
        <v>0</v>
      </c>
      <c r="AI137">
        <f t="shared" si="9"/>
        <v>31</v>
      </c>
    </row>
    <row r="138" spans="2:35" x14ac:dyDescent="0.25">
      <c r="B138" t="s">
        <v>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f t="shared" si="8"/>
        <v>0</v>
      </c>
      <c r="AI138">
        <f t="shared" si="9"/>
        <v>31</v>
      </c>
    </row>
    <row r="139" spans="2:35" x14ac:dyDescent="0.25">
      <c r="B139" t="s">
        <v>65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8"/>
        <v>0</v>
      </c>
      <c r="AI139">
        <f t="shared" si="9"/>
        <v>31</v>
      </c>
    </row>
    <row r="140" spans="2:35" x14ac:dyDescent="0.25">
      <c r="B140" t="s">
        <v>68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f t="shared" si="8"/>
        <v>0</v>
      </c>
      <c r="AI140">
        <f t="shared" si="9"/>
        <v>31</v>
      </c>
    </row>
    <row r="141" spans="2:35" x14ac:dyDescent="0.25">
      <c r="B141" t="s">
        <v>74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f t="shared" si="8"/>
        <v>0</v>
      </c>
      <c r="AI141">
        <f t="shared" si="9"/>
        <v>31</v>
      </c>
    </row>
    <row r="142" spans="2:35" x14ac:dyDescent="0.25">
      <c r="B142" t="s">
        <v>79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f t="shared" si="8"/>
        <v>0</v>
      </c>
      <c r="AI142">
        <f t="shared" si="9"/>
        <v>31</v>
      </c>
    </row>
    <row r="143" spans="2:35" x14ac:dyDescent="0.25">
      <c r="B143" t="s">
        <v>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f t="shared" si="8"/>
        <v>0</v>
      </c>
      <c r="AI143">
        <f t="shared" si="9"/>
        <v>31</v>
      </c>
    </row>
    <row r="144" spans="2:35" x14ac:dyDescent="0.25">
      <c r="B144" t="s">
        <v>88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f t="shared" si="8"/>
        <v>0</v>
      </c>
      <c r="AI144">
        <f t="shared" si="9"/>
        <v>31</v>
      </c>
    </row>
    <row r="145" spans="2:35" x14ac:dyDescent="0.25">
      <c r="B145" t="s">
        <v>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 t="shared" si="8"/>
        <v>0</v>
      </c>
      <c r="AI145">
        <f t="shared" si="9"/>
        <v>31</v>
      </c>
    </row>
    <row r="146" spans="2:35" x14ac:dyDescent="0.25">
      <c r="B146" t="s">
        <v>100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f t="shared" si="8"/>
        <v>0</v>
      </c>
      <c r="AI146">
        <f t="shared" si="9"/>
        <v>31</v>
      </c>
    </row>
    <row r="147" spans="2:35" x14ac:dyDescent="0.25">
      <c r="B147" t="s">
        <v>102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 t="shared" si="8"/>
        <v>0</v>
      </c>
      <c r="AI147">
        <f t="shared" si="9"/>
        <v>31</v>
      </c>
    </row>
    <row r="148" spans="2:35" x14ac:dyDescent="0.25">
      <c r="B148" t="s">
        <v>103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 t="shared" si="8"/>
        <v>0</v>
      </c>
      <c r="AI148">
        <f t="shared" si="9"/>
        <v>31</v>
      </c>
    </row>
    <row r="149" spans="2:35" x14ac:dyDescent="0.25">
      <c r="B149" t="s">
        <v>105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 t="shared" si="8"/>
        <v>0</v>
      </c>
      <c r="AI149">
        <f t="shared" si="9"/>
        <v>31</v>
      </c>
    </row>
    <row r="150" spans="2:35" x14ac:dyDescent="0.25">
      <c r="B150" t="s">
        <v>107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 t="shared" si="8"/>
        <v>0</v>
      </c>
      <c r="AI150">
        <f t="shared" si="9"/>
        <v>31</v>
      </c>
    </row>
    <row r="151" spans="2:35" x14ac:dyDescent="0.25">
      <c r="B151" t="s">
        <v>111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f t="shared" si="8"/>
        <v>0</v>
      </c>
      <c r="AI151">
        <f t="shared" si="9"/>
        <v>31</v>
      </c>
    </row>
    <row r="152" spans="2:35" x14ac:dyDescent="0.25">
      <c r="B152" t="s">
        <v>121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 t="shared" si="8"/>
        <v>0</v>
      </c>
      <c r="AI152">
        <f t="shared" si="9"/>
        <v>31</v>
      </c>
    </row>
    <row r="153" spans="2:35" x14ac:dyDescent="0.25">
      <c r="B153" t="s">
        <v>123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 t="shared" si="8"/>
        <v>0</v>
      </c>
      <c r="AI153">
        <f t="shared" si="9"/>
        <v>31</v>
      </c>
    </row>
    <row r="154" spans="2:35" x14ac:dyDescent="0.25">
      <c r="B154" t="s">
        <v>129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f t="shared" si="8"/>
        <v>0</v>
      </c>
      <c r="AI154">
        <f t="shared" si="9"/>
        <v>31</v>
      </c>
    </row>
    <row r="155" spans="2:35" x14ac:dyDescent="0.25">
      <c r="B155" t="s">
        <v>134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f t="shared" si="8"/>
        <v>0</v>
      </c>
      <c r="AI155">
        <f t="shared" si="9"/>
        <v>31</v>
      </c>
    </row>
    <row r="156" spans="2:35" x14ac:dyDescent="0.25">
      <c r="B156" t="s">
        <v>135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f t="shared" si="8"/>
        <v>0</v>
      </c>
      <c r="AI156">
        <f t="shared" si="9"/>
        <v>31</v>
      </c>
    </row>
    <row r="157" spans="2:35" x14ac:dyDescent="0.25">
      <c r="B157" t="s">
        <v>137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f t="shared" si="8"/>
        <v>0</v>
      </c>
      <c r="AI157">
        <f t="shared" si="9"/>
        <v>31</v>
      </c>
    </row>
    <row r="158" spans="2:35" x14ac:dyDescent="0.25">
      <c r="B158" t="s">
        <v>142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f t="shared" si="8"/>
        <v>0</v>
      </c>
      <c r="AI158">
        <f t="shared" si="9"/>
        <v>31</v>
      </c>
    </row>
    <row r="159" spans="2:35" x14ac:dyDescent="0.25">
      <c r="B159" t="s">
        <v>145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 t="shared" si="8"/>
        <v>0</v>
      </c>
      <c r="AI159">
        <f t="shared" si="9"/>
        <v>31</v>
      </c>
    </row>
    <row r="160" spans="2:35" x14ac:dyDescent="0.25">
      <c r="B160" t="s">
        <v>146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8"/>
        <v>0</v>
      </c>
      <c r="AI160">
        <f t="shared" si="9"/>
        <v>31</v>
      </c>
    </row>
    <row r="161" spans="2:35" x14ac:dyDescent="0.25">
      <c r="B161" t="s">
        <v>147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8"/>
        <v>0</v>
      </c>
      <c r="AI161">
        <f t="shared" si="9"/>
        <v>31</v>
      </c>
    </row>
    <row r="162" spans="2:35" x14ac:dyDescent="0.25">
      <c r="B162" t="s">
        <v>150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 t="shared" ref="AH162:AH193" si="10">AVERAGE(C162:AG162)</f>
        <v>0</v>
      </c>
      <c r="AI162">
        <f t="shared" ref="AI162:AI193" si="11">COUNTIF(C162:AG162,"0")</f>
        <v>31</v>
      </c>
    </row>
    <row r="163" spans="2:35" x14ac:dyDescent="0.25">
      <c r="B163" t="s">
        <v>154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 t="shared" si="10"/>
        <v>0</v>
      </c>
      <c r="AI163">
        <f t="shared" si="11"/>
        <v>31</v>
      </c>
    </row>
    <row r="164" spans="2:35" x14ac:dyDescent="0.25">
      <c r="B164" t="s">
        <v>157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f t="shared" si="10"/>
        <v>0</v>
      </c>
      <c r="AI164">
        <f t="shared" si="11"/>
        <v>31</v>
      </c>
    </row>
    <row r="165" spans="2:35" x14ac:dyDescent="0.25">
      <c r="B165" t="s">
        <v>159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f t="shared" si="10"/>
        <v>0</v>
      </c>
      <c r="AI165">
        <f t="shared" si="11"/>
        <v>31</v>
      </c>
    </row>
    <row r="166" spans="2:35" x14ac:dyDescent="0.25">
      <c r="B166" t="s">
        <v>161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f t="shared" si="10"/>
        <v>0</v>
      </c>
      <c r="AI166">
        <f t="shared" si="11"/>
        <v>31</v>
      </c>
    </row>
    <row r="167" spans="2:35" x14ac:dyDescent="0.25">
      <c r="B167" t="s">
        <v>162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10"/>
        <v>0</v>
      </c>
      <c r="AI167">
        <f t="shared" si="11"/>
        <v>31</v>
      </c>
    </row>
    <row r="168" spans="2:35" x14ac:dyDescent="0.25">
      <c r="B168" t="s">
        <v>165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 t="shared" si="10"/>
        <v>0</v>
      </c>
      <c r="AI168">
        <f t="shared" si="11"/>
        <v>31</v>
      </c>
    </row>
    <row r="169" spans="2:35" x14ac:dyDescent="0.25">
      <c r="B169" t="s">
        <v>166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 t="shared" si="10"/>
        <v>0</v>
      </c>
      <c r="AI169">
        <f t="shared" si="11"/>
        <v>31</v>
      </c>
    </row>
    <row r="170" spans="2:35" x14ac:dyDescent="0.25">
      <c r="B170" t="s">
        <v>168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 t="shared" si="10"/>
        <v>0</v>
      </c>
      <c r="AI170">
        <f t="shared" si="11"/>
        <v>31</v>
      </c>
    </row>
    <row r="171" spans="2:35" x14ac:dyDescent="0.25"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 t="shared" si="10"/>
        <v>0</v>
      </c>
      <c r="AI171">
        <f t="shared" si="11"/>
        <v>31</v>
      </c>
    </row>
    <row r="172" spans="2:35" x14ac:dyDescent="0.25">
      <c r="B172" t="s">
        <v>173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f t="shared" si="10"/>
        <v>0</v>
      </c>
      <c r="AI172">
        <f t="shared" si="11"/>
        <v>31</v>
      </c>
    </row>
    <row r="173" spans="2:35" x14ac:dyDescent="0.25">
      <c r="B173" t="s">
        <v>175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 t="shared" si="10"/>
        <v>0</v>
      </c>
      <c r="AI173">
        <f t="shared" si="11"/>
        <v>31</v>
      </c>
    </row>
    <row r="174" spans="2:35" x14ac:dyDescent="0.25">
      <c r="B174" t="s">
        <v>177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 t="shared" si="10"/>
        <v>0</v>
      </c>
      <c r="AI174">
        <f t="shared" si="11"/>
        <v>31</v>
      </c>
    </row>
    <row r="175" spans="2:35" x14ac:dyDescent="0.25">
      <c r="B175" t="s">
        <v>178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f t="shared" si="10"/>
        <v>0</v>
      </c>
      <c r="AI175">
        <f t="shared" si="11"/>
        <v>31</v>
      </c>
    </row>
    <row r="176" spans="2:35" x14ac:dyDescent="0.25">
      <c r="B176" t="s">
        <v>180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f t="shared" si="10"/>
        <v>0</v>
      </c>
      <c r="AI176">
        <f t="shared" si="11"/>
        <v>31</v>
      </c>
    </row>
    <row r="177" spans="2:35" x14ac:dyDescent="0.25">
      <c r="B177" t="s">
        <v>184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f t="shared" si="10"/>
        <v>0</v>
      </c>
      <c r="AI177">
        <f t="shared" si="11"/>
        <v>31</v>
      </c>
    </row>
    <row r="178" spans="2:35" x14ac:dyDescent="0.25">
      <c r="B178" t="s">
        <v>185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f t="shared" si="10"/>
        <v>0</v>
      </c>
      <c r="AI178">
        <f t="shared" si="11"/>
        <v>31</v>
      </c>
    </row>
    <row r="179" spans="2:35" x14ac:dyDescent="0.25">
      <c r="B179" t="s">
        <v>186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f t="shared" si="10"/>
        <v>0</v>
      </c>
      <c r="AI179">
        <f t="shared" si="11"/>
        <v>31</v>
      </c>
    </row>
    <row r="180" spans="2:35" x14ac:dyDescent="0.25">
      <c r="B180" t="s">
        <v>187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f t="shared" si="10"/>
        <v>0</v>
      </c>
      <c r="AI180">
        <f t="shared" si="11"/>
        <v>31</v>
      </c>
    </row>
    <row r="181" spans="2:35" x14ac:dyDescent="0.25">
      <c r="B181" t="s">
        <v>194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10"/>
        <v>0</v>
      </c>
      <c r="AI181">
        <f t="shared" si="11"/>
        <v>31</v>
      </c>
    </row>
    <row r="182" spans="2:35" x14ac:dyDescent="0.25">
      <c r="B182" t="s">
        <v>196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 t="shared" si="10"/>
        <v>0</v>
      </c>
      <c r="AI182">
        <f t="shared" si="11"/>
        <v>31</v>
      </c>
    </row>
    <row r="183" spans="2:35" x14ac:dyDescent="0.25">
      <c r="B183" t="s">
        <v>199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 t="shared" si="10"/>
        <v>0</v>
      </c>
      <c r="AI183">
        <f t="shared" si="11"/>
        <v>31</v>
      </c>
    </row>
    <row r="184" spans="2:35" x14ac:dyDescent="0.25">
      <c r="B184" t="s">
        <v>200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f t="shared" si="10"/>
        <v>0</v>
      </c>
      <c r="AI184">
        <f t="shared" si="11"/>
        <v>31</v>
      </c>
    </row>
    <row r="185" spans="2:35" x14ac:dyDescent="0.25">
      <c r="B185" t="s">
        <v>201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 t="shared" si="10"/>
        <v>0</v>
      </c>
      <c r="AI185">
        <f t="shared" si="11"/>
        <v>31</v>
      </c>
    </row>
    <row r="186" spans="2:35" x14ac:dyDescent="0.25">
      <c r="B186" t="s">
        <v>202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f t="shared" si="10"/>
        <v>0</v>
      </c>
      <c r="AI186">
        <f t="shared" si="11"/>
        <v>31</v>
      </c>
    </row>
    <row r="187" spans="2:35" x14ac:dyDescent="0.25">
      <c r="B187" t="s">
        <v>204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 t="shared" si="10"/>
        <v>0</v>
      </c>
      <c r="AI187">
        <f t="shared" si="11"/>
        <v>31</v>
      </c>
    </row>
    <row r="188" spans="2:35" x14ac:dyDescent="0.25">
      <c r="B188" t="s">
        <v>206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f t="shared" si="10"/>
        <v>0</v>
      </c>
      <c r="AI188">
        <f t="shared" si="11"/>
        <v>31</v>
      </c>
    </row>
    <row r="189" spans="2:35" x14ac:dyDescent="0.25">
      <c r="B189" t="s">
        <v>207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 t="shared" si="10"/>
        <v>0</v>
      </c>
      <c r="AI189">
        <f t="shared" si="11"/>
        <v>31</v>
      </c>
    </row>
    <row r="190" spans="2:35" x14ac:dyDescent="0.25">
      <c r="B190" t="s">
        <v>209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f t="shared" si="10"/>
        <v>0</v>
      </c>
      <c r="AI190">
        <f t="shared" si="11"/>
        <v>31</v>
      </c>
    </row>
    <row r="191" spans="2:35" x14ac:dyDescent="0.25">
      <c r="B191" t="s">
        <v>212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 t="shared" si="10"/>
        <v>0</v>
      </c>
      <c r="AI191">
        <f t="shared" si="11"/>
        <v>31</v>
      </c>
    </row>
    <row r="192" spans="2:35" x14ac:dyDescent="0.25">
      <c r="B192" t="s">
        <v>214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 t="shared" si="10"/>
        <v>0</v>
      </c>
      <c r="AI192">
        <f t="shared" si="11"/>
        <v>31</v>
      </c>
    </row>
    <row r="193" spans="2:35" x14ac:dyDescent="0.25">
      <c r="B193" t="s">
        <v>221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f t="shared" si="10"/>
        <v>0</v>
      </c>
      <c r="AI193">
        <f t="shared" si="11"/>
        <v>31</v>
      </c>
    </row>
  </sheetData>
  <autoFilter ref="B2:AI2" xr:uid="{0CFC21F5-1210-4B85-979E-B57A6A263FAE}">
    <sortState xmlns:xlrd2="http://schemas.microsoft.com/office/spreadsheetml/2017/richdata2" ref="B3:AI194">
      <sortCondition ref="AI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4249-A0B3-410C-BE5A-19C5B0BFD6B0}">
  <dimension ref="B2:AI41"/>
  <sheetViews>
    <sheetView topLeftCell="B1" workbookViewId="0">
      <selection activeCell="B12" sqref="B3:B12"/>
    </sheetView>
  </sheetViews>
  <sheetFormatPr defaultRowHeight="15" x14ac:dyDescent="0.25"/>
  <cols>
    <col min="2" max="2" width="59.7109375" bestFit="1" customWidth="1"/>
    <col min="3" max="33" width="24.28515625" bestFit="1" customWidth="1"/>
    <col min="34" max="34" width="21.140625" bestFit="1" customWidth="1"/>
    <col min="35" max="35" width="23.42578125" bestFit="1" customWidth="1"/>
  </cols>
  <sheetData>
    <row r="2" spans="2:35" x14ac:dyDescent="0.25">
      <c r="B2" t="s">
        <v>225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224</v>
      </c>
      <c r="AI2" t="s">
        <v>226</v>
      </c>
    </row>
    <row r="3" spans="2:35" x14ac:dyDescent="0.25">
      <c r="B3" s="1" t="s">
        <v>347</v>
      </c>
      <c r="C3">
        <v>24</v>
      </c>
      <c r="D3">
        <v>8</v>
      </c>
      <c r="E3">
        <v>10</v>
      </c>
      <c r="F3">
        <v>7</v>
      </c>
      <c r="G3">
        <v>9</v>
      </c>
      <c r="H3">
        <v>1</v>
      </c>
      <c r="I3">
        <v>3</v>
      </c>
      <c r="J3">
        <v>15</v>
      </c>
      <c r="K3">
        <v>10</v>
      </c>
      <c r="L3">
        <v>6</v>
      </c>
      <c r="M3">
        <v>55</v>
      </c>
      <c r="N3">
        <v>11</v>
      </c>
      <c r="O3">
        <v>9</v>
      </c>
      <c r="P3">
        <v>32</v>
      </c>
      <c r="Q3">
        <v>11</v>
      </c>
      <c r="R3">
        <v>7</v>
      </c>
      <c r="S3">
        <v>50</v>
      </c>
      <c r="T3">
        <v>36</v>
      </c>
      <c r="U3">
        <v>23</v>
      </c>
      <c r="V3">
        <v>19</v>
      </c>
      <c r="W3">
        <v>38</v>
      </c>
      <c r="X3">
        <v>72</v>
      </c>
      <c r="Y3">
        <v>11</v>
      </c>
      <c r="Z3">
        <v>25</v>
      </c>
      <c r="AA3">
        <v>19</v>
      </c>
      <c r="AB3">
        <v>13</v>
      </c>
      <c r="AC3">
        <v>5</v>
      </c>
      <c r="AD3">
        <v>8</v>
      </c>
      <c r="AE3">
        <v>13</v>
      </c>
      <c r="AF3">
        <v>17</v>
      </c>
      <c r="AG3">
        <v>17</v>
      </c>
      <c r="AH3">
        <f t="shared" ref="AH3:AH41" si="0">AVERAGE(C3:AG3)</f>
        <v>18.838709677419356</v>
      </c>
      <c r="AI3">
        <f t="shared" ref="AI3:AI41" si="1">COUNTIF(C3:AG3,"0")</f>
        <v>0</v>
      </c>
    </row>
    <row r="4" spans="2:35" x14ac:dyDescent="0.25">
      <c r="B4" s="1" t="s">
        <v>352</v>
      </c>
      <c r="C4">
        <v>569</v>
      </c>
      <c r="D4">
        <v>456</v>
      </c>
      <c r="E4">
        <v>354</v>
      </c>
      <c r="F4">
        <v>454</v>
      </c>
      <c r="G4">
        <v>455</v>
      </c>
      <c r="H4">
        <v>285</v>
      </c>
      <c r="I4">
        <v>456</v>
      </c>
      <c r="J4">
        <v>297</v>
      </c>
      <c r="K4">
        <v>312</v>
      </c>
      <c r="L4">
        <v>349</v>
      </c>
      <c r="M4">
        <v>456</v>
      </c>
      <c r="N4">
        <v>456</v>
      </c>
      <c r="O4">
        <v>455</v>
      </c>
      <c r="P4">
        <v>114</v>
      </c>
      <c r="Q4">
        <v>454</v>
      </c>
      <c r="R4">
        <v>459</v>
      </c>
      <c r="S4">
        <v>322</v>
      </c>
      <c r="T4">
        <v>213</v>
      </c>
      <c r="U4">
        <v>435</v>
      </c>
      <c r="V4">
        <v>50</v>
      </c>
      <c r="W4">
        <v>429</v>
      </c>
      <c r="X4">
        <v>439</v>
      </c>
      <c r="Y4">
        <v>337</v>
      </c>
      <c r="Z4">
        <v>429</v>
      </c>
      <c r="AA4">
        <v>437</v>
      </c>
      <c r="AB4">
        <v>436</v>
      </c>
      <c r="AC4">
        <v>435</v>
      </c>
      <c r="AD4">
        <v>437</v>
      </c>
      <c r="AE4">
        <v>438</v>
      </c>
      <c r="AF4">
        <v>398</v>
      </c>
      <c r="AG4">
        <v>439</v>
      </c>
      <c r="AH4">
        <f t="shared" si="0"/>
        <v>388.87096774193549</v>
      </c>
      <c r="AI4">
        <f t="shared" si="1"/>
        <v>0</v>
      </c>
    </row>
    <row r="5" spans="2:35" x14ac:dyDescent="0.25">
      <c r="B5" s="1" t="s">
        <v>354</v>
      </c>
      <c r="C5">
        <v>27</v>
      </c>
      <c r="D5">
        <v>999</v>
      </c>
      <c r="E5">
        <v>733</v>
      </c>
      <c r="F5">
        <v>161</v>
      </c>
      <c r="G5">
        <v>57</v>
      </c>
      <c r="H5">
        <v>819</v>
      </c>
      <c r="I5">
        <v>857</v>
      </c>
      <c r="J5">
        <v>828</v>
      </c>
      <c r="K5">
        <v>1541</v>
      </c>
      <c r="L5">
        <v>1206</v>
      </c>
      <c r="M5">
        <v>251</v>
      </c>
      <c r="N5">
        <v>109</v>
      </c>
      <c r="O5">
        <v>1094</v>
      </c>
      <c r="P5">
        <v>1034</v>
      </c>
      <c r="Q5">
        <v>1333</v>
      </c>
      <c r="R5">
        <v>1479</v>
      </c>
      <c r="S5">
        <v>1397</v>
      </c>
      <c r="T5">
        <v>415</v>
      </c>
      <c r="U5">
        <v>209</v>
      </c>
      <c r="V5">
        <v>1231</v>
      </c>
      <c r="W5">
        <v>1519</v>
      </c>
      <c r="X5">
        <v>1120</v>
      </c>
      <c r="Y5">
        <v>1124</v>
      </c>
      <c r="Z5">
        <v>1500</v>
      </c>
      <c r="AA5">
        <v>303</v>
      </c>
      <c r="AB5">
        <v>34</v>
      </c>
      <c r="AC5">
        <v>22</v>
      </c>
      <c r="AD5">
        <v>196</v>
      </c>
      <c r="AE5">
        <v>98</v>
      </c>
      <c r="AF5">
        <v>1142</v>
      </c>
      <c r="AG5">
        <v>1073</v>
      </c>
      <c r="AH5">
        <f t="shared" si="0"/>
        <v>771.32258064516134</v>
      </c>
      <c r="AI5">
        <f t="shared" si="1"/>
        <v>0</v>
      </c>
    </row>
    <row r="6" spans="2:35" x14ac:dyDescent="0.25">
      <c r="B6" s="1" t="s">
        <v>158</v>
      </c>
      <c r="C6">
        <v>1136</v>
      </c>
      <c r="D6">
        <v>1225</v>
      </c>
      <c r="E6">
        <v>1157</v>
      </c>
      <c r="F6">
        <v>1136</v>
      </c>
      <c r="G6">
        <v>1152</v>
      </c>
      <c r="H6">
        <v>1163</v>
      </c>
      <c r="I6">
        <v>1171</v>
      </c>
      <c r="J6">
        <v>1150</v>
      </c>
      <c r="K6">
        <v>1568</v>
      </c>
      <c r="L6">
        <v>1128</v>
      </c>
      <c r="M6">
        <v>4797</v>
      </c>
      <c r="N6">
        <v>2807</v>
      </c>
      <c r="O6">
        <v>2999</v>
      </c>
      <c r="P6">
        <v>1826</v>
      </c>
      <c r="Q6">
        <v>1818</v>
      </c>
      <c r="R6">
        <v>1601</v>
      </c>
      <c r="S6">
        <v>1724</v>
      </c>
      <c r="T6">
        <v>1718</v>
      </c>
      <c r="U6">
        <v>1595</v>
      </c>
      <c r="V6">
        <v>2296</v>
      </c>
      <c r="W6">
        <v>2271</v>
      </c>
      <c r="X6">
        <v>4189</v>
      </c>
      <c r="Y6">
        <v>7277</v>
      </c>
      <c r="Z6">
        <v>3991</v>
      </c>
      <c r="AA6">
        <v>9907</v>
      </c>
      <c r="AB6">
        <v>6560</v>
      </c>
      <c r="AC6">
        <v>11921</v>
      </c>
      <c r="AD6">
        <v>8928</v>
      </c>
      <c r="AE6">
        <v>9831</v>
      </c>
      <c r="AF6">
        <v>4627</v>
      </c>
      <c r="AG6">
        <v>5523</v>
      </c>
      <c r="AH6">
        <f t="shared" si="0"/>
        <v>3554.5806451612902</v>
      </c>
      <c r="AI6">
        <f t="shared" si="1"/>
        <v>0</v>
      </c>
    </row>
    <row r="7" spans="2:35" x14ac:dyDescent="0.25">
      <c r="B7" s="1" t="s">
        <v>210</v>
      </c>
      <c r="C7">
        <v>123</v>
      </c>
      <c r="D7">
        <v>102</v>
      </c>
      <c r="E7">
        <v>105</v>
      </c>
      <c r="F7">
        <v>129</v>
      </c>
      <c r="G7">
        <v>134</v>
      </c>
      <c r="H7">
        <v>108</v>
      </c>
      <c r="I7">
        <v>141</v>
      </c>
      <c r="J7">
        <v>107</v>
      </c>
      <c r="K7">
        <v>126</v>
      </c>
      <c r="L7">
        <v>123</v>
      </c>
      <c r="M7">
        <v>102</v>
      </c>
      <c r="N7">
        <v>119</v>
      </c>
      <c r="O7">
        <v>76</v>
      </c>
      <c r="P7">
        <v>55</v>
      </c>
      <c r="Q7">
        <v>119</v>
      </c>
      <c r="R7">
        <v>96</v>
      </c>
      <c r="S7">
        <v>70</v>
      </c>
      <c r="T7">
        <v>144</v>
      </c>
      <c r="U7">
        <v>142</v>
      </c>
      <c r="V7">
        <v>134</v>
      </c>
      <c r="W7">
        <v>136</v>
      </c>
      <c r="X7">
        <v>153</v>
      </c>
      <c r="Y7">
        <v>136</v>
      </c>
      <c r="Z7">
        <v>145</v>
      </c>
      <c r="AA7">
        <v>141</v>
      </c>
      <c r="AB7">
        <v>153</v>
      </c>
      <c r="AC7">
        <v>161</v>
      </c>
      <c r="AD7">
        <v>192</v>
      </c>
      <c r="AE7">
        <v>135</v>
      </c>
      <c r="AF7">
        <v>121</v>
      </c>
      <c r="AG7">
        <v>118</v>
      </c>
      <c r="AH7">
        <f t="shared" si="0"/>
        <v>124.06451612903226</v>
      </c>
      <c r="AI7">
        <f t="shared" si="1"/>
        <v>0</v>
      </c>
    </row>
    <row r="8" spans="2:35" x14ac:dyDescent="0.25">
      <c r="B8" s="1" t="s">
        <v>220</v>
      </c>
      <c r="C8">
        <v>29</v>
      </c>
      <c r="D8">
        <v>28</v>
      </c>
      <c r="E8">
        <v>27</v>
      </c>
      <c r="F8">
        <v>25</v>
      </c>
      <c r="G8">
        <v>29</v>
      </c>
      <c r="H8">
        <v>27</v>
      </c>
      <c r="I8">
        <v>31</v>
      </c>
      <c r="J8">
        <v>28</v>
      </c>
      <c r="K8">
        <v>31</v>
      </c>
      <c r="L8">
        <v>28</v>
      </c>
      <c r="M8">
        <v>27</v>
      </c>
      <c r="N8">
        <v>28</v>
      </c>
      <c r="O8">
        <v>32</v>
      </c>
      <c r="P8">
        <v>30</v>
      </c>
      <c r="Q8">
        <v>32</v>
      </c>
      <c r="R8">
        <v>28</v>
      </c>
      <c r="S8">
        <v>31</v>
      </c>
      <c r="T8">
        <v>30</v>
      </c>
      <c r="U8">
        <v>25</v>
      </c>
      <c r="V8">
        <v>34</v>
      </c>
      <c r="W8">
        <v>28</v>
      </c>
      <c r="X8">
        <v>29</v>
      </c>
      <c r="Y8">
        <v>27</v>
      </c>
      <c r="Z8">
        <v>31</v>
      </c>
      <c r="AA8">
        <v>27</v>
      </c>
      <c r="AB8">
        <v>25</v>
      </c>
      <c r="AC8">
        <v>27</v>
      </c>
      <c r="AD8">
        <v>27</v>
      </c>
      <c r="AE8">
        <v>31</v>
      </c>
      <c r="AF8">
        <v>24</v>
      </c>
      <c r="AG8">
        <v>30</v>
      </c>
      <c r="AH8">
        <f t="shared" si="0"/>
        <v>28.580645161290324</v>
      </c>
      <c r="AI8">
        <f t="shared" si="1"/>
        <v>0</v>
      </c>
    </row>
    <row r="9" spans="2:35" x14ac:dyDescent="0.25">
      <c r="B9" s="1" t="s">
        <v>222</v>
      </c>
      <c r="C9">
        <v>11634</v>
      </c>
      <c r="D9">
        <v>13342</v>
      </c>
      <c r="E9">
        <v>13647</v>
      </c>
      <c r="F9">
        <v>6813</v>
      </c>
      <c r="G9">
        <v>6606</v>
      </c>
      <c r="H9">
        <v>12690</v>
      </c>
      <c r="I9">
        <v>14698</v>
      </c>
      <c r="J9">
        <v>15124</v>
      </c>
      <c r="K9">
        <v>14833</v>
      </c>
      <c r="L9">
        <v>15305</v>
      </c>
      <c r="M9">
        <v>13699</v>
      </c>
      <c r="N9">
        <v>13760</v>
      </c>
      <c r="O9">
        <v>14502</v>
      </c>
      <c r="P9">
        <v>16545</v>
      </c>
      <c r="Q9">
        <v>16766</v>
      </c>
      <c r="R9">
        <v>17399</v>
      </c>
      <c r="S9">
        <v>16443</v>
      </c>
      <c r="T9">
        <v>13886</v>
      </c>
      <c r="U9">
        <v>12449</v>
      </c>
      <c r="V9">
        <v>18445</v>
      </c>
      <c r="W9">
        <v>17491</v>
      </c>
      <c r="X9">
        <v>15943</v>
      </c>
      <c r="Y9">
        <v>16573</v>
      </c>
      <c r="Z9">
        <v>17896</v>
      </c>
      <c r="AA9">
        <v>13943</v>
      </c>
      <c r="AB9">
        <v>14624</v>
      </c>
      <c r="AC9">
        <v>14788</v>
      </c>
      <c r="AD9">
        <v>14448</v>
      </c>
      <c r="AE9">
        <v>14437</v>
      </c>
      <c r="AF9">
        <v>17360</v>
      </c>
      <c r="AG9">
        <v>18417</v>
      </c>
      <c r="AH9">
        <f t="shared" si="0"/>
        <v>14661.483870967742</v>
      </c>
      <c r="AI9">
        <f t="shared" si="1"/>
        <v>0</v>
      </c>
    </row>
    <row r="10" spans="2:35" x14ac:dyDescent="0.25">
      <c r="B10" s="1" t="s">
        <v>50</v>
      </c>
      <c r="C10">
        <v>5</v>
      </c>
      <c r="D10">
        <v>8</v>
      </c>
      <c r="E10">
        <v>20</v>
      </c>
      <c r="F10">
        <v>21</v>
      </c>
      <c r="G10">
        <v>6</v>
      </c>
      <c r="H10">
        <v>32</v>
      </c>
      <c r="I10">
        <v>103</v>
      </c>
      <c r="J10">
        <v>18</v>
      </c>
      <c r="K10">
        <v>2</v>
      </c>
      <c r="L10">
        <v>7</v>
      </c>
      <c r="M10">
        <v>2</v>
      </c>
      <c r="N10">
        <v>4</v>
      </c>
      <c r="O10">
        <v>8</v>
      </c>
      <c r="P10">
        <v>8</v>
      </c>
      <c r="Q10">
        <v>62</v>
      </c>
      <c r="R10">
        <v>2</v>
      </c>
      <c r="S10">
        <v>34</v>
      </c>
      <c r="T10">
        <v>12</v>
      </c>
      <c r="U10">
        <v>0</v>
      </c>
      <c r="V10">
        <v>6</v>
      </c>
      <c r="W10">
        <v>8</v>
      </c>
      <c r="X10">
        <v>8</v>
      </c>
      <c r="Y10">
        <v>6</v>
      </c>
      <c r="Z10">
        <v>10</v>
      </c>
      <c r="AA10">
        <v>4</v>
      </c>
      <c r="AB10">
        <v>5</v>
      </c>
      <c r="AC10">
        <v>117</v>
      </c>
      <c r="AD10">
        <v>120</v>
      </c>
      <c r="AE10">
        <v>4</v>
      </c>
      <c r="AF10">
        <v>36</v>
      </c>
      <c r="AG10">
        <v>9</v>
      </c>
      <c r="AH10">
        <f t="shared" si="0"/>
        <v>22.161290322580644</v>
      </c>
      <c r="AI10">
        <f t="shared" si="1"/>
        <v>1</v>
      </c>
    </row>
    <row r="11" spans="2:35" x14ac:dyDescent="0.25">
      <c r="B11" s="1" t="s">
        <v>348</v>
      </c>
      <c r="C11">
        <v>7</v>
      </c>
      <c r="D11">
        <v>20</v>
      </c>
      <c r="E11">
        <v>17</v>
      </c>
      <c r="F11">
        <v>9</v>
      </c>
      <c r="G11">
        <v>7</v>
      </c>
      <c r="H11">
        <v>27</v>
      </c>
      <c r="I11">
        <v>12</v>
      </c>
      <c r="J11">
        <v>7</v>
      </c>
      <c r="K11">
        <v>25</v>
      </c>
      <c r="L11">
        <v>12</v>
      </c>
      <c r="M11">
        <v>14</v>
      </c>
      <c r="N11">
        <v>13</v>
      </c>
      <c r="O11">
        <v>26</v>
      </c>
      <c r="P11">
        <v>11</v>
      </c>
      <c r="Q11">
        <v>17</v>
      </c>
      <c r="R11">
        <v>14</v>
      </c>
      <c r="S11">
        <v>4</v>
      </c>
      <c r="T11">
        <v>14</v>
      </c>
      <c r="U11">
        <v>13</v>
      </c>
      <c r="V11">
        <v>13</v>
      </c>
      <c r="W11">
        <v>17</v>
      </c>
      <c r="X11">
        <v>13</v>
      </c>
      <c r="Y11">
        <v>16</v>
      </c>
      <c r="Z11">
        <v>16</v>
      </c>
      <c r="AA11">
        <v>3</v>
      </c>
      <c r="AB11">
        <v>0</v>
      </c>
      <c r="AC11">
        <v>20</v>
      </c>
      <c r="AD11">
        <v>9</v>
      </c>
      <c r="AE11">
        <v>10</v>
      </c>
      <c r="AF11">
        <v>12</v>
      </c>
      <c r="AG11">
        <v>35</v>
      </c>
      <c r="AH11">
        <f t="shared" si="0"/>
        <v>13.96774193548387</v>
      </c>
      <c r="AI11">
        <f t="shared" si="1"/>
        <v>1</v>
      </c>
    </row>
    <row r="12" spans="2:35" x14ac:dyDescent="0.25">
      <c r="B12" s="1" t="s">
        <v>344</v>
      </c>
      <c r="C12">
        <v>49</v>
      </c>
      <c r="D12">
        <v>45</v>
      </c>
      <c r="E12">
        <v>47</v>
      </c>
      <c r="F12">
        <v>45</v>
      </c>
      <c r="G12">
        <v>47</v>
      </c>
      <c r="H12">
        <v>47</v>
      </c>
      <c r="I12">
        <v>47</v>
      </c>
      <c r="J12">
        <v>47</v>
      </c>
      <c r="K12">
        <v>47</v>
      </c>
      <c r="L12">
        <v>47</v>
      </c>
      <c r="M12">
        <v>48</v>
      </c>
      <c r="N12">
        <v>47</v>
      </c>
      <c r="O12">
        <v>48</v>
      </c>
      <c r="P12">
        <v>41</v>
      </c>
      <c r="Q12">
        <v>43</v>
      </c>
      <c r="R12">
        <v>47</v>
      </c>
      <c r="S12">
        <v>47</v>
      </c>
      <c r="T12">
        <v>47</v>
      </c>
      <c r="U12">
        <v>47</v>
      </c>
      <c r="V12">
        <v>47</v>
      </c>
      <c r="W12">
        <v>41</v>
      </c>
      <c r="X12">
        <v>12</v>
      </c>
      <c r="Y12">
        <v>0</v>
      </c>
      <c r="Z12">
        <v>42</v>
      </c>
      <c r="AA12">
        <v>0</v>
      </c>
      <c r="AB12">
        <v>0</v>
      </c>
      <c r="AC12">
        <v>30</v>
      </c>
      <c r="AD12">
        <v>47</v>
      </c>
      <c r="AE12">
        <v>47</v>
      </c>
      <c r="AF12">
        <v>47</v>
      </c>
      <c r="AG12">
        <v>45</v>
      </c>
      <c r="AH12">
        <f t="shared" si="0"/>
        <v>40.032258064516128</v>
      </c>
      <c r="AI12">
        <f t="shared" si="1"/>
        <v>3</v>
      </c>
    </row>
    <row r="13" spans="2:35" x14ac:dyDescent="0.25">
      <c r="B13" t="s">
        <v>73</v>
      </c>
      <c r="C13">
        <v>3</v>
      </c>
      <c r="D13">
        <v>2</v>
      </c>
      <c r="E13">
        <v>2</v>
      </c>
      <c r="F13">
        <v>7</v>
      </c>
      <c r="G13">
        <v>2</v>
      </c>
      <c r="H13">
        <v>2</v>
      </c>
      <c r="I13">
        <v>2</v>
      </c>
      <c r="J13">
        <v>9</v>
      </c>
      <c r="K13">
        <v>1</v>
      </c>
      <c r="L13">
        <v>2</v>
      </c>
      <c r="M13">
        <v>0</v>
      </c>
      <c r="N13">
        <v>0</v>
      </c>
      <c r="O13">
        <v>4</v>
      </c>
      <c r="P13">
        <v>0</v>
      </c>
      <c r="Q13">
        <v>5</v>
      </c>
      <c r="R13">
        <v>3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2</v>
      </c>
      <c r="AF13">
        <v>14</v>
      </c>
      <c r="AG13">
        <v>1</v>
      </c>
      <c r="AH13">
        <f t="shared" si="0"/>
        <v>2.3870967741935485</v>
      </c>
      <c r="AI13">
        <f t="shared" si="1"/>
        <v>11</v>
      </c>
    </row>
    <row r="14" spans="2:35" x14ac:dyDescent="0.25">
      <c r="B14" t="s">
        <v>350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2</v>
      </c>
      <c r="J14">
        <v>0</v>
      </c>
      <c r="K14">
        <v>0</v>
      </c>
      <c r="L14">
        <v>2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3</v>
      </c>
      <c r="AC14">
        <v>1</v>
      </c>
      <c r="AD14">
        <v>1</v>
      </c>
      <c r="AE14">
        <v>1</v>
      </c>
      <c r="AF14">
        <v>1</v>
      </c>
      <c r="AG14">
        <v>1</v>
      </c>
      <c r="AH14">
        <f t="shared" si="0"/>
        <v>0.77419354838709675</v>
      </c>
      <c r="AI14">
        <f t="shared" si="1"/>
        <v>11</v>
      </c>
    </row>
    <row r="15" spans="2:35" x14ac:dyDescent="0.25">
      <c r="B15" t="s">
        <v>175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39</v>
      </c>
      <c r="K15">
        <v>1024</v>
      </c>
      <c r="L15">
        <v>78</v>
      </c>
      <c r="M15">
        <v>11</v>
      </c>
      <c r="N15">
        <v>29</v>
      </c>
      <c r="O15">
        <v>13</v>
      </c>
      <c r="P15">
        <v>4</v>
      </c>
      <c r="Q15">
        <v>30</v>
      </c>
      <c r="R15">
        <v>15</v>
      </c>
      <c r="S15">
        <v>6</v>
      </c>
      <c r="T15">
        <v>0</v>
      </c>
      <c r="U15">
        <v>0</v>
      </c>
      <c r="V15">
        <v>23</v>
      </c>
      <c r="W15">
        <v>4</v>
      </c>
      <c r="X15">
        <v>4</v>
      </c>
      <c r="Y15">
        <v>4</v>
      </c>
      <c r="Z15">
        <v>4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6</v>
      </c>
      <c r="AG15">
        <v>0</v>
      </c>
      <c r="AH15">
        <f t="shared" si="0"/>
        <v>41.87096774193548</v>
      </c>
      <c r="AI15">
        <f t="shared" si="1"/>
        <v>14</v>
      </c>
    </row>
    <row r="16" spans="2:35" x14ac:dyDescent="0.25">
      <c r="B16" t="s">
        <v>345</v>
      </c>
      <c r="C16">
        <v>0</v>
      </c>
      <c r="D16">
        <v>3</v>
      </c>
      <c r="E16">
        <v>0</v>
      </c>
      <c r="F16">
        <v>0</v>
      </c>
      <c r="G16">
        <v>0</v>
      </c>
      <c r="H16">
        <v>2</v>
      </c>
      <c r="I16">
        <v>0</v>
      </c>
      <c r="J16">
        <v>1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8</v>
      </c>
      <c r="U16">
        <v>0</v>
      </c>
      <c r="V16">
        <v>0</v>
      </c>
      <c r="W16">
        <v>0</v>
      </c>
      <c r="X16">
        <v>1</v>
      </c>
      <c r="Y16">
        <v>2</v>
      </c>
      <c r="Z16">
        <v>1</v>
      </c>
      <c r="AA16">
        <v>0</v>
      </c>
      <c r="AB16">
        <v>0</v>
      </c>
      <c r="AC16">
        <v>0</v>
      </c>
      <c r="AD16">
        <v>4</v>
      </c>
      <c r="AE16">
        <v>0</v>
      </c>
      <c r="AF16">
        <v>4</v>
      </c>
      <c r="AG16">
        <v>0</v>
      </c>
      <c r="AH16">
        <f t="shared" si="0"/>
        <v>0.93548387096774188</v>
      </c>
      <c r="AI16">
        <f t="shared" si="1"/>
        <v>20</v>
      </c>
    </row>
    <row r="17" spans="2:35" x14ac:dyDescent="0.25">
      <c r="B17" t="s">
        <v>161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0</v>
      </c>
      <c r="K17">
        <v>3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f t="shared" si="0"/>
        <v>0.45161290322580644</v>
      </c>
      <c r="AI17">
        <f t="shared" si="1"/>
        <v>23</v>
      </c>
    </row>
    <row r="18" spans="2:35" x14ac:dyDescent="0.25">
      <c r="B18" t="s">
        <v>216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15</v>
      </c>
      <c r="Y18">
        <v>2156</v>
      </c>
      <c r="Z18">
        <v>0</v>
      </c>
      <c r="AA18">
        <v>643</v>
      </c>
      <c r="AB18">
        <v>0</v>
      </c>
      <c r="AC18">
        <v>0</v>
      </c>
      <c r="AD18">
        <v>84</v>
      </c>
      <c r="AE18">
        <v>2633</v>
      </c>
      <c r="AF18">
        <v>380</v>
      </c>
      <c r="AG18">
        <v>1170</v>
      </c>
      <c r="AH18">
        <f t="shared" si="0"/>
        <v>228.41935483870967</v>
      </c>
      <c r="AI18">
        <f t="shared" si="1"/>
        <v>24</v>
      </c>
    </row>
    <row r="19" spans="2:35" x14ac:dyDescent="0.25">
      <c r="B19" t="s">
        <v>343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>
        <v>7</v>
      </c>
      <c r="X19">
        <v>0</v>
      </c>
      <c r="Y19">
        <v>309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229</v>
      </c>
      <c r="AG19">
        <v>126</v>
      </c>
      <c r="AH19">
        <f t="shared" si="0"/>
        <v>22.032258064516128</v>
      </c>
      <c r="AI19">
        <f t="shared" si="1"/>
        <v>25</v>
      </c>
    </row>
    <row r="20" spans="2:35" x14ac:dyDescent="0.25"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</v>
      </c>
      <c r="R20">
        <v>1</v>
      </c>
      <c r="S20">
        <v>118</v>
      </c>
      <c r="T20">
        <v>0</v>
      </c>
      <c r="U20">
        <v>0</v>
      </c>
      <c r="V20">
        <v>18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f t="shared" si="0"/>
        <v>4.645161290322581</v>
      </c>
      <c r="AI20">
        <f t="shared" si="1"/>
        <v>26</v>
      </c>
    </row>
    <row r="21" spans="2:35" x14ac:dyDescent="0.25">
      <c r="B21" t="s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0</v>
      </c>
      <c r="AH21">
        <f t="shared" si="0"/>
        <v>6.4516129032258063E-2</v>
      </c>
      <c r="AI21">
        <f t="shared" si="1"/>
        <v>30</v>
      </c>
    </row>
    <row r="22" spans="2:35" x14ac:dyDescent="0.25">
      <c r="B22" t="s">
        <v>353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f t="shared" si="0"/>
        <v>0.25806451612903225</v>
      </c>
      <c r="AI22">
        <f t="shared" si="1"/>
        <v>30</v>
      </c>
    </row>
    <row r="23" spans="2:35" x14ac:dyDescent="0.25">
      <c r="B23" t="s">
        <v>157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0"/>
        <v>3.2258064516129031E-2</v>
      </c>
      <c r="AI23">
        <f t="shared" si="1"/>
        <v>30</v>
      </c>
    </row>
    <row r="24" spans="2:35" x14ac:dyDescent="0.25">
      <c r="B24" t="s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0"/>
        <v>0</v>
      </c>
      <c r="AI24">
        <f t="shared" si="1"/>
        <v>31</v>
      </c>
    </row>
    <row r="25" spans="2:35" x14ac:dyDescent="0.25">
      <c r="B25" t="s">
        <v>55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0"/>
        <v>0</v>
      </c>
      <c r="AI25">
        <f t="shared" si="1"/>
        <v>31</v>
      </c>
    </row>
    <row r="26" spans="2:35" x14ac:dyDescent="0.25">
      <c r="B26" t="s">
        <v>346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f t="shared" si="0"/>
        <v>0</v>
      </c>
      <c r="AI26">
        <f t="shared" si="1"/>
        <v>31</v>
      </c>
    </row>
    <row r="27" spans="2:35" x14ac:dyDescent="0.25">
      <c r="B27" t="s">
        <v>349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0"/>
        <v>0</v>
      </c>
      <c r="AI27">
        <f t="shared" si="1"/>
        <v>31</v>
      </c>
    </row>
    <row r="28" spans="2:35" x14ac:dyDescent="0.25">
      <c r="B28" t="s">
        <v>351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0"/>
        <v>0</v>
      </c>
      <c r="AI28">
        <f t="shared" si="1"/>
        <v>31</v>
      </c>
    </row>
    <row r="29" spans="2:35" x14ac:dyDescent="0.25">
      <c r="B29" t="s">
        <v>133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0"/>
        <v>0</v>
      </c>
      <c r="AI29">
        <f t="shared" si="1"/>
        <v>31</v>
      </c>
    </row>
    <row r="30" spans="2:35" x14ac:dyDescent="0.25">
      <c r="B30" t="s">
        <v>141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0"/>
        <v>0</v>
      </c>
      <c r="AI30">
        <f t="shared" si="1"/>
        <v>31</v>
      </c>
    </row>
    <row r="31" spans="2:35" x14ac:dyDescent="0.25">
      <c r="B31" t="s">
        <v>355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0"/>
        <v>0</v>
      </c>
      <c r="AI31">
        <f t="shared" si="1"/>
        <v>31</v>
      </c>
    </row>
    <row r="32" spans="2:35" x14ac:dyDescent="0.25">
      <c r="B32" t="s">
        <v>151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f t="shared" si="0"/>
        <v>0</v>
      </c>
      <c r="AI32">
        <f t="shared" si="1"/>
        <v>31</v>
      </c>
    </row>
    <row r="33" spans="2:35" x14ac:dyDescent="0.25">
      <c r="B33" t="s">
        <v>152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0"/>
        <v>0</v>
      </c>
      <c r="AI33">
        <f t="shared" si="1"/>
        <v>31</v>
      </c>
    </row>
    <row r="34" spans="2:35" x14ac:dyDescent="0.25">
      <c r="B34" t="s">
        <v>155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f t="shared" si="0"/>
        <v>0</v>
      </c>
      <c r="AI34">
        <f t="shared" si="1"/>
        <v>31</v>
      </c>
    </row>
    <row r="35" spans="2:35" x14ac:dyDescent="0.25">
      <c r="B35" t="s">
        <v>356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0"/>
        <v>0</v>
      </c>
      <c r="AI35">
        <f t="shared" si="1"/>
        <v>31</v>
      </c>
    </row>
    <row r="36" spans="2:35" x14ac:dyDescent="0.25">
      <c r="B36" t="s">
        <v>190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f t="shared" si="0"/>
        <v>0</v>
      </c>
      <c r="AI36">
        <f t="shared" si="1"/>
        <v>31</v>
      </c>
    </row>
    <row r="37" spans="2:35" x14ac:dyDescent="0.25">
      <c r="B37" t="s">
        <v>205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 t="shared" si="0"/>
        <v>0</v>
      </c>
      <c r="AI37">
        <f t="shared" si="1"/>
        <v>31</v>
      </c>
    </row>
    <row r="38" spans="2:35" x14ac:dyDescent="0.25">
      <c r="B38" t="s">
        <v>211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f t="shared" si="0"/>
        <v>0</v>
      </c>
      <c r="AI38">
        <f t="shared" si="1"/>
        <v>31</v>
      </c>
    </row>
    <row r="39" spans="2:35" x14ac:dyDescent="0.25">
      <c r="B39" t="s">
        <v>214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0"/>
        <v>0</v>
      </c>
      <c r="AI39">
        <f t="shared" si="1"/>
        <v>31</v>
      </c>
    </row>
    <row r="40" spans="2:35" x14ac:dyDescent="0.25">
      <c r="B40" t="s">
        <v>357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f t="shared" si="0"/>
        <v>0</v>
      </c>
      <c r="AI40">
        <f t="shared" si="1"/>
        <v>31</v>
      </c>
    </row>
    <row r="41" spans="2:35" x14ac:dyDescent="0.25">
      <c r="B41" t="s">
        <v>219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 t="shared" si="0"/>
        <v>0</v>
      </c>
      <c r="AI41">
        <f t="shared" si="1"/>
        <v>31</v>
      </c>
    </row>
  </sheetData>
  <autoFilter ref="B2:AI2" xr:uid="{43CE4249-A0B3-410C-BE5A-19C5B0BFD6B0}">
    <sortState xmlns:xlrd2="http://schemas.microsoft.com/office/spreadsheetml/2017/richdata2" ref="B3:AI41">
      <sortCondition ref="AI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AC08-FB42-457B-9F31-5ACF3A0D1CF7}">
  <dimension ref="B2:AD41"/>
  <sheetViews>
    <sheetView workbookViewId="0">
      <selection activeCell="B11" sqref="B3:B11"/>
    </sheetView>
  </sheetViews>
  <sheetFormatPr defaultRowHeight="15" x14ac:dyDescent="0.25"/>
  <cols>
    <col min="2" max="2" width="59.7109375" bestFit="1" customWidth="1"/>
    <col min="3" max="28" width="24.28515625" bestFit="1" customWidth="1"/>
    <col min="29" max="29" width="21.140625" bestFit="1" customWidth="1"/>
    <col min="30" max="30" width="23.42578125" bestFit="1" customWidth="1"/>
  </cols>
  <sheetData>
    <row r="2" spans="2:30" x14ac:dyDescent="0.25">
      <c r="B2" t="s">
        <v>225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N2" t="s">
        <v>238</v>
      </c>
      <c r="O2" t="s">
        <v>239</v>
      </c>
      <c r="P2" t="s">
        <v>240</v>
      </c>
      <c r="Q2" t="s">
        <v>241</v>
      </c>
      <c r="R2" t="s">
        <v>242</v>
      </c>
      <c r="S2" t="s">
        <v>243</v>
      </c>
      <c r="T2" t="s">
        <v>244</v>
      </c>
      <c r="U2" t="s">
        <v>245</v>
      </c>
      <c r="V2" t="s">
        <v>246</v>
      </c>
      <c r="W2" t="s">
        <v>247</v>
      </c>
      <c r="X2" t="s">
        <v>248</v>
      </c>
      <c r="Y2" t="s">
        <v>249</v>
      </c>
      <c r="Z2" t="s">
        <v>250</v>
      </c>
      <c r="AA2" t="s">
        <v>251</v>
      </c>
      <c r="AB2" t="s">
        <v>252</v>
      </c>
      <c r="AC2" t="s">
        <v>224</v>
      </c>
      <c r="AD2" t="s">
        <v>226</v>
      </c>
    </row>
    <row r="3" spans="2:30" x14ac:dyDescent="0.25">
      <c r="B3" s="1" t="s">
        <v>344</v>
      </c>
      <c r="C3">
        <v>49</v>
      </c>
      <c r="D3">
        <v>39</v>
      </c>
      <c r="E3">
        <v>18</v>
      </c>
      <c r="F3">
        <v>47</v>
      </c>
      <c r="G3">
        <v>47</v>
      </c>
      <c r="H3">
        <v>48</v>
      </c>
      <c r="I3">
        <v>47</v>
      </c>
      <c r="J3">
        <v>47</v>
      </c>
      <c r="K3">
        <v>48</v>
      </c>
      <c r="L3">
        <v>46</v>
      </c>
      <c r="M3">
        <v>49</v>
      </c>
      <c r="N3">
        <v>48</v>
      </c>
      <c r="O3">
        <v>48</v>
      </c>
      <c r="P3">
        <v>50</v>
      </c>
      <c r="Q3">
        <v>45</v>
      </c>
      <c r="R3">
        <v>46</v>
      </c>
      <c r="S3">
        <v>46</v>
      </c>
      <c r="T3">
        <v>46</v>
      </c>
      <c r="U3">
        <v>46</v>
      </c>
      <c r="V3">
        <v>46</v>
      </c>
      <c r="W3">
        <v>45</v>
      </c>
      <c r="X3">
        <v>48</v>
      </c>
      <c r="Y3">
        <v>46</v>
      </c>
      <c r="Z3">
        <v>46</v>
      </c>
      <c r="AA3">
        <v>38</v>
      </c>
      <c r="AB3">
        <v>24</v>
      </c>
      <c r="AC3">
        <f t="shared" ref="AC3:AC41" si="0">AVERAGE(C3:AB3)</f>
        <v>44.346153846153847</v>
      </c>
      <c r="AD3">
        <f t="shared" ref="AD3:AD41" si="1">COUNTIF(C3:AB3,"0")</f>
        <v>0</v>
      </c>
    </row>
    <row r="4" spans="2:30" x14ac:dyDescent="0.25">
      <c r="B4" s="1" t="s">
        <v>347</v>
      </c>
      <c r="C4">
        <v>20</v>
      </c>
      <c r="D4">
        <v>15</v>
      </c>
      <c r="E4">
        <v>2</v>
      </c>
      <c r="F4">
        <v>47</v>
      </c>
      <c r="G4">
        <v>16</v>
      </c>
      <c r="H4">
        <v>19</v>
      </c>
      <c r="I4">
        <v>8</v>
      </c>
      <c r="J4">
        <v>11</v>
      </c>
      <c r="K4">
        <v>6</v>
      </c>
      <c r="L4">
        <v>25</v>
      </c>
      <c r="M4">
        <v>6</v>
      </c>
      <c r="N4">
        <v>5</v>
      </c>
      <c r="O4">
        <v>7</v>
      </c>
      <c r="P4">
        <v>42</v>
      </c>
      <c r="Q4">
        <v>11</v>
      </c>
      <c r="R4">
        <v>8</v>
      </c>
      <c r="S4">
        <v>3</v>
      </c>
      <c r="T4">
        <v>20</v>
      </c>
      <c r="U4">
        <v>22</v>
      </c>
      <c r="V4">
        <v>7</v>
      </c>
      <c r="W4">
        <v>17</v>
      </c>
      <c r="X4">
        <v>31</v>
      </c>
      <c r="Y4">
        <v>22</v>
      </c>
      <c r="Z4">
        <v>12</v>
      </c>
      <c r="AA4">
        <v>7</v>
      </c>
      <c r="AB4">
        <v>7</v>
      </c>
      <c r="AC4">
        <f t="shared" si="0"/>
        <v>15.23076923076923</v>
      </c>
      <c r="AD4">
        <f t="shared" si="1"/>
        <v>0</v>
      </c>
    </row>
    <row r="5" spans="2:30" x14ac:dyDescent="0.25">
      <c r="B5" s="1" t="s">
        <v>348</v>
      </c>
      <c r="C5">
        <v>16</v>
      </c>
      <c r="D5">
        <v>5</v>
      </c>
      <c r="E5">
        <v>1</v>
      </c>
      <c r="F5">
        <v>17</v>
      </c>
      <c r="G5">
        <v>8</v>
      </c>
      <c r="H5">
        <v>8</v>
      </c>
      <c r="I5">
        <v>23</v>
      </c>
      <c r="J5">
        <v>21</v>
      </c>
      <c r="K5">
        <v>14</v>
      </c>
      <c r="L5">
        <v>24</v>
      </c>
      <c r="M5">
        <v>15</v>
      </c>
      <c r="N5">
        <v>16</v>
      </c>
      <c r="O5">
        <v>8</v>
      </c>
      <c r="P5">
        <v>9</v>
      </c>
      <c r="Q5">
        <v>20</v>
      </c>
      <c r="R5">
        <v>20</v>
      </c>
      <c r="S5">
        <v>27</v>
      </c>
      <c r="T5">
        <v>25</v>
      </c>
      <c r="U5">
        <v>11</v>
      </c>
      <c r="V5">
        <v>7</v>
      </c>
      <c r="W5">
        <v>17</v>
      </c>
      <c r="X5">
        <v>8</v>
      </c>
      <c r="Y5">
        <v>13</v>
      </c>
      <c r="Z5">
        <v>20</v>
      </c>
      <c r="AA5">
        <v>11</v>
      </c>
      <c r="AB5">
        <v>5</v>
      </c>
      <c r="AC5">
        <f t="shared" si="0"/>
        <v>14.192307692307692</v>
      </c>
      <c r="AD5">
        <f t="shared" si="1"/>
        <v>0</v>
      </c>
    </row>
    <row r="6" spans="2:30" x14ac:dyDescent="0.25">
      <c r="B6" s="1" t="s">
        <v>354</v>
      </c>
      <c r="C6">
        <v>122</v>
      </c>
      <c r="D6">
        <v>47</v>
      </c>
      <c r="E6">
        <v>6</v>
      </c>
      <c r="F6">
        <v>1938</v>
      </c>
      <c r="G6">
        <v>1000</v>
      </c>
      <c r="H6">
        <v>228</v>
      </c>
      <c r="I6">
        <v>35</v>
      </c>
      <c r="J6">
        <v>1172</v>
      </c>
      <c r="K6">
        <v>1143</v>
      </c>
      <c r="L6">
        <v>1140</v>
      </c>
      <c r="M6">
        <v>1292</v>
      </c>
      <c r="N6">
        <v>1070</v>
      </c>
      <c r="O6">
        <v>185</v>
      </c>
      <c r="P6">
        <v>59</v>
      </c>
      <c r="Q6">
        <v>799</v>
      </c>
      <c r="R6">
        <v>1693</v>
      </c>
      <c r="S6">
        <v>1635</v>
      </c>
      <c r="T6">
        <v>2018</v>
      </c>
      <c r="U6">
        <v>1413</v>
      </c>
      <c r="V6">
        <v>224</v>
      </c>
      <c r="W6">
        <v>74</v>
      </c>
      <c r="X6">
        <v>1607</v>
      </c>
      <c r="Y6">
        <v>477</v>
      </c>
      <c r="Z6">
        <v>2110</v>
      </c>
      <c r="AA6">
        <v>1469</v>
      </c>
      <c r="AB6">
        <v>193</v>
      </c>
      <c r="AC6">
        <f t="shared" si="0"/>
        <v>890.34615384615381</v>
      </c>
      <c r="AD6">
        <f t="shared" si="1"/>
        <v>0</v>
      </c>
    </row>
    <row r="7" spans="2:30" x14ac:dyDescent="0.25">
      <c r="B7" s="1" t="s">
        <v>158</v>
      </c>
      <c r="C7">
        <v>3393</v>
      </c>
      <c r="D7">
        <v>3145</v>
      </c>
      <c r="E7">
        <v>81</v>
      </c>
      <c r="F7">
        <v>5940</v>
      </c>
      <c r="G7">
        <v>5566</v>
      </c>
      <c r="H7">
        <v>6994</v>
      </c>
      <c r="I7">
        <v>5144</v>
      </c>
      <c r="J7">
        <v>5685</v>
      </c>
      <c r="K7">
        <v>5850</v>
      </c>
      <c r="L7">
        <v>5904</v>
      </c>
      <c r="M7">
        <v>5970</v>
      </c>
      <c r="N7">
        <v>3179</v>
      </c>
      <c r="O7">
        <v>239</v>
      </c>
      <c r="P7">
        <v>9881</v>
      </c>
      <c r="Q7">
        <v>22478</v>
      </c>
      <c r="R7">
        <v>16630</v>
      </c>
      <c r="S7">
        <v>18088</v>
      </c>
      <c r="T7">
        <v>25198</v>
      </c>
      <c r="U7">
        <v>28350</v>
      </c>
      <c r="V7">
        <v>20069</v>
      </c>
      <c r="W7">
        <v>12784</v>
      </c>
      <c r="X7">
        <v>19181</v>
      </c>
      <c r="Y7">
        <v>17996</v>
      </c>
      <c r="Z7">
        <v>22109</v>
      </c>
      <c r="AA7">
        <v>17871</v>
      </c>
      <c r="AB7">
        <v>12264</v>
      </c>
      <c r="AC7">
        <f t="shared" si="0"/>
        <v>11538.038461538461</v>
      </c>
      <c r="AD7">
        <f t="shared" si="1"/>
        <v>0</v>
      </c>
    </row>
    <row r="8" spans="2:30" x14ac:dyDescent="0.25">
      <c r="B8" s="1" t="s">
        <v>210</v>
      </c>
      <c r="C8">
        <v>105</v>
      </c>
      <c r="D8">
        <v>105</v>
      </c>
      <c r="E8">
        <v>54</v>
      </c>
      <c r="F8">
        <v>135</v>
      </c>
      <c r="G8">
        <v>110</v>
      </c>
      <c r="H8">
        <v>106</v>
      </c>
      <c r="I8">
        <v>121</v>
      </c>
      <c r="J8">
        <v>123</v>
      </c>
      <c r="K8">
        <v>91</v>
      </c>
      <c r="L8">
        <v>116</v>
      </c>
      <c r="M8">
        <v>119</v>
      </c>
      <c r="N8">
        <v>136</v>
      </c>
      <c r="O8">
        <v>100</v>
      </c>
      <c r="P8">
        <v>135</v>
      </c>
      <c r="Q8">
        <v>143</v>
      </c>
      <c r="R8">
        <v>138</v>
      </c>
      <c r="S8">
        <v>173</v>
      </c>
      <c r="T8">
        <v>160</v>
      </c>
      <c r="U8">
        <v>143</v>
      </c>
      <c r="V8">
        <v>154</v>
      </c>
      <c r="W8">
        <v>145</v>
      </c>
      <c r="X8">
        <v>150</v>
      </c>
      <c r="Y8">
        <v>176</v>
      </c>
      <c r="Z8">
        <v>136</v>
      </c>
      <c r="AA8">
        <v>165</v>
      </c>
      <c r="AB8">
        <v>60</v>
      </c>
      <c r="AC8">
        <f t="shared" si="0"/>
        <v>126.88461538461539</v>
      </c>
      <c r="AD8">
        <f t="shared" si="1"/>
        <v>0</v>
      </c>
    </row>
    <row r="9" spans="2:30" x14ac:dyDescent="0.25">
      <c r="B9" s="1" t="s">
        <v>220</v>
      </c>
      <c r="C9">
        <v>35</v>
      </c>
      <c r="D9">
        <v>20</v>
      </c>
      <c r="E9">
        <v>13</v>
      </c>
      <c r="F9">
        <v>28</v>
      </c>
      <c r="G9">
        <v>28</v>
      </c>
      <c r="H9">
        <v>27</v>
      </c>
      <c r="I9">
        <v>27</v>
      </c>
      <c r="J9">
        <v>29</v>
      </c>
      <c r="K9">
        <v>27</v>
      </c>
      <c r="L9">
        <v>28</v>
      </c>
      <c r="M9">
        <v>25</v>
      </c>
      <c r="N9">
        <v>28</v>
      </c>
      <c r="O9">
        <v>23</v>
      </c>
      <c r="P9">
        <v>19</v>
      </c>
      <c r="Q9">
        <v>31</v>
      </c>
      <c r="R9">
        <v>27</v>
      </c>
      <c r="S9">
        <v>12</v>
      </c>
      <c r="T9">
        <v>4</v>
      </c>
      <c r="U9">
        <v>3</v>
      </c>
      <c r="V9">
        <v>3</v>
      </c>
      <c r="W9">
        <v>3</v>
      </c>
      <c r="X9">
        <v>3</v>
      </c>
      <c r="Y9">
        <v>5</v>
      </c>
      <c r="Z9">
        <v>9</v>
      </c>
      <c r="AA9">
        <v>6</v>
      </c>
      <c r="AB9">
        <v>3</v>
      </c>
      <c r="AC9">
        <f t="shared" si="0"/>
        <v>17.923076923076923</v>
      </c>
      <c r="AD9">
        <f t="shared" si="1"/>
        <v>0</v>
      </c>
    </row>
    <row r="10" spans="2:30" x14ac:dyDescent="0.25">
      <c r="B10" s="1" t="s">
        <v>222</v>
      </c>
      <c r="C10">
        <v>11718</v>
      </c>
      <c r="D10">
        <v>13053</v>
      </c>
      <c r="E10">
        <v>4396</v>
      </c>
      <c r="F10">
        <v>16707</v>
      </c>
      <c r="G10">
        <v>15446</v>
      </c>
      <c r="H10">
        <v>12937</v>
      </c>
      <c r="I10">
        <v>13161</v>
      </c>
      <c r="J10">
        <v>15239</v>
      </c>
      <c r="K10">
        <v>16904</v>
      </c>
      <c r="L10">
        <v>19275</v>
      </c>
      <c r="M10">
        <v>15937</v>
      </c>
      <c r="N10">
        <v>16783</v>
      </c>
      <c r="O10">
        <v>14412</v>
      </c>
      <c r="P10">
        <v>14145</v>
      </c>
      <c r="Q10">
        <v>18193</v>
      </c>
      <c r="R10">
        <v>19032</v>
      </c>
      <c r="S10">
        <v>24354</v>
      </c>
      <c r="T10">
        <v>21361</v>
      </c>
      <c r="U10">
        <v>19189</v>
      </c>
      <c r="V10">
        <v>20418</v>
      </c>
      <c r="W10">
        <v>19139</v>
      </c>
      <c r="X10">
        <v>25597</v>
      </c>
      <c r="Y10">
        <v>20689</v>
      </c>
      <c r="Z10">
        <v>21262</v>
      </c>
      <c r="AA10">
        <v>20652</v>
      </c>
      <c r="AB10">
        <v>10050</v>
      </c>
      <c r="AC10">
        <f t="shared" si="0"/>
        <v>16924.961538461539</v>
      </c>
      <c r="AD10">
        <f t="shared" si="1"/>
        <v>0</v>
      </c>
    </row>
    <row r="11" spans="2:30" x14ac:dyDescent="0.25">
      <c r="B11" s="1" t="s">
        <v>352</v>
      </c>
      <c r="C11">
        <v>436</v>
      </c>
      <c r="D11">
        <v>440</v>
      </c>
      <c r="E11">
        <v>0</v>
      </c>
      <c r="F11">
        <v>291</v>
      </c>
      <c r="G11">
        <v>434</v>
      </c>
      <c r="H11">
        <v>434</v>
      </c>
      <c r="I11">
        <v>434</v>
      </c>
      <c r="J11">
        <v>241</v>
      </c>
      <c r="K11">
        <v>557</v>
      </c>
      <c r="L11">
        <v>558</v>
      </c>
      <c r="M11">
        <v>563</v>
      </c>
      <c r="N11">
        <v>374</v>
      </c>
      <c r="O11">
        <v>467</v>
      </c>
      <c r="P11">
        <v>468</v>
      </c>
      <c r="Q11">
        <v>409</v>
      </c>
      <c r="R11">
        <v>215</v>
      </c>
      <c r="S11">
        <v>381</v>
      </c>
      <c r="T11">
        <v>434</v>
      </c>
      <c r="U11">
        <v>363</v>
      </c>
      <c r="V11">
        <v>456</v>
      </c>
      <c r="W11">
        <v>487</v>
      </c>
      <c r="X11">
        <v>551</v>
      </c>
      <c r="Y11">
        <v>503</v>
      </c>
      <c r="Z11">
        <v>485</v>
      </c>
      <c r="AA11">
        <v>348</v>
      </c>
      <c r="AB11">
        <v>78</v>
      </c>
      <c r="AC11">
        <f t="shared" si="0"/>
        <v>400.26923076923077</v>
      </c>
      <c r="AD11">
        <f t="shared" si="1"/>
        <v>1</v>
      </c>
    </row>
    <row r="12" spans="2:30" x14ac:dyDescent="0.25">
      <c r="B12" t="s">
        <v>50</v>
      </c>
      <c r="C12">
        <v>1</v>
      </c>
      <c r="D12">
        <v>8</v>
      </c>
      <c r="E12">
        <v>0</v>
      </c>
      <c r="F12">
        <v>9</v>
      </c>
      <c r="G12">
        <v>4</v>
      </c>
      <c r="H12">
        <v>2</v>
      </c>
      <c r="I12">
        <v>25</v>
      </c>
      <c r="J12">
        <v>0</v>
      </c>
      <c r="K12">
        <v>16</v>
      </c>
      <c r="L12">
        <v>2</v>
      </c>
      <c r="M12">
        <v>2</v>
      </c>
      <c r="N12">
        <v>0</v>
      </c>
      <c r="O12">
        <v>8</v>
      </c>
      <c r="P12">
        <v>0</v>
      </c>
      <c r="Q12">
        <v>12</v>
      </c>
      <c r="R12">
        <v>18</v>
      </c>
      <c r="S12">
        <v>22</v>
      </c>
      <c r="T12">
        <v>1</v>
      </c>
      <c r="U12">
        <v>37</v>
      </c>
      <c r="V12">
        <v>19</v>
      </c>
      <c r="W12">
        <v>0</v>
      </c>
      <c r="X12">
        <v>5</v>
      </c>
      <c r="Y12">
        <v>42</v>
      </c>
      <c r="Z12">
        <v>10</v>
      </c>
      <c r="AA12">
        <v>44</v>
      </c>
      <c r="AB12">
        <v>21</v>
      </c>
      <c r="AC12">
        <f t="shared" si="0"/>
        <v>11.846153846153847</v>
      </c>
      <c r="AD12">
        <f t="shared" si="1"/>
        <v>5</v>
      </c>
    </row>
    <row r="13" spans="2:30" x14ac:dyDescent="0.25">
      <c r="B13" t="s">
        <v>350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2</v>
      </c>
      <c r="K13">
        <v>0</v>
      </c>
      <c r="L13">
        <v>1</v>
      </c>
      <c r="M13">
        <v>1</v>
      </c>
      <c r="N13">
        <v>0</v>
      </c>
      <c r="O13">
        <v>132</v>
      </c>
      <c r="P13">
        <v>2</v>
      </c>
      <c r="Q13">
        <v>3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2</v>
      </c>
      <c r="Y13">
        <v>3</v>
      </c>
      <c r="Z13">
        <v>5</v>
      </c>
      <c r="AA13">
        <v>2</v>
      </c>
      <c r="AB13">
        <v>0</v>
      </c>
      <c r="AC13">
        <f t="shared" si="0"/>
        <v>6.115384615384615</v>
      </c>
      <c r="AD13">
        <f t="shared" si="1"/>
        <v>10</v>
      </c>
    </row>
    <row r="14" spans="2:30" x14ac:dyDescent="0.25">
      <c r="B14" t="s">
        <v>73</v>
      </c>
      <c r="C14">
        <v>7</v>
      </c>
      <c r="D14">
        <v>1</v>
      </c>
      <c r="E14">
        <v>0</v>
      </c>
      <c r="F14">
        <v>0</v>
      </c>
      <c r="G14">
        <v>1</v>
      </c>
      <c r="H14">
        <v>0</v>
      </c>
      <c r="I14">
        <v>3</v>
      </c>
      <c r="J14">
        <v>1</v>
      </c>
      <c r="K14">
        <v>0</v>
      </c>
      <c r="L14">
        <v>2</v>
      </c>
      <c r="M14">
        <v>2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4</v>
      </c>
      <c r="V14">
        <v>0</v>
      </c>
      <c r="W14">
        <v>1</v>
      </c>
      <c r="X14">
        <v>6</v>
      </c>
      <c r="Y14">
        <v>5</v>
      </c>
      <c r="Z14">
        <v>0</v>
      </c>
      <c r="AA14">
        <v>0</v>
      </c>
      <c r="AB14">
        <v>6</v>
      </c>
      <c r="AC14">
        <f t="shared" si="0"/>
        <v>1.5769230769230769</v>
      </c>
      <c r="AD14">
        <f t="shared" si="1"/>
        <v>13</v>
      </c>
    </row>
    <row r="15" spans="2:30" x14ac:dyDescent="0.25">
      <c r="B15" t="s">
        <v>161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1</v>
      </c>
      <c r="M15">
        <v>1</v>
      </c>
      <c r="N15">
        <v>2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6</v>
      </c>
      <c r="Y15">
        <v>2</v>
      </c>
      <c r="Z15">
        <v>1</v>
      </c>
      <c r="AA15">
        <v>1</v>
      </c>
      <c r="AB15">
        <v>0</v>
      </c>
      <c r="AC15">
        <f t="shared" si="0"/>
        <v>0.80769230769230771</v>
      </c>
      <c r="AD15">
        <f t="shared" si="1"/>
        <v>14</v>
      </c>
    </row>
    <row r="16" spans="2:30" x14ac:dyDescent="0.25">
      <c r="B16" t="s">
        <v>345</v>
      </c>
      <c r="C16">
        <v>2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2</v>
      </c>
      <c r="P16">
        <v>0</v>
      </c>
      <c r="Q16">
        <v>1</v>
      </c>
      <c r="R16">
        <v>0</v>
      </c>
      <c r="S16">
        <v>0</v>
      </c>
      <c r="T16">
        <v>2</v>
      </c>
      <c r="U16">
        <v>2</v>
      </c>
      <c r="V16">
        <v>6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f t="shared" si="0"/>
        <v>0.80769230769230771</v>
      </c>
      <c r="AD16">
        <f t="shared" si="1"/>
        <v>17</v>
      </c>
    </row>
    <row r="17" spans="2:30" x14ac:dyDescent="0.25">
      <c r="B17" t="s">
        <v>355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39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15</v>
      </c>
      <c r="U17">
        <v>40</v>
      </c>
      <c r="V17">
        <v>0</v>
      </c>
      <c r="W17">
        <v>0</v>
      </c>
      <c r="X17">
        <v>29</v>
      </c>
      <c r="Y17">
        <v>4</v>
      </c>
      <c r="Z17">
        <v>263</v>
      </c>
      <c r="AA17">
        <v>248</v>
      </c>
      <c r="AB17">
        <v>0</v>
      </c>
      <c r="AC17">
        <f t="shared" si="0"/>
        <v>24.692307692307693</v>
      </c>
      <c r="AD17">
        <f t="shared" si="1"/>
        <v>18</v>
      </c>
    </row>
    <row r="18" spans="2:30" x14ac:dyDescent="0.25">
      <c r="B18" t="s">
        <v>343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154</v>
      </c>
      <c r="K18">
        <v>0</v>
      </c>
      <c r="L18">
        <v>1</v>
      </c>
      <c r="M18">
        <v>73</v>
      </c>
      <c r="N18">
        <v>0</v>
      </c>
      <c r="O18">
        <v>0</v>
      </c>
      <c r="P18">
        <v>0</v>
      </c>
      <c r="Q18">
        <v>0</v>
      </c>
      <c r="R18">
        <v>73</v>
      </c>
      <c r="S18">
        <v>0</v>
      </c>
      <c r="T18">
        <v>0</v>
      </c>
      <c r="U18">
        <v>0</v>
      </c>
      <c r="V18">
        <v>0</v>
      </c>
      <c r="W18">
        <v>0</v>
      </c>
      <c r="X18">
        <v>466</v>
      </c>
      <c r="Y18">
        <v>0</v>
      </c>
      <c r="Z18">
        <v>0</v>
      </c>
      <c r="AA18">
        <v>477</v>
      </c>
      <c r="AB18">
        <v>0</v>
      </c>
      <c r="AC18">
        <f t="shared" si="0"/>
        <v>47.846153846153847</v>
      </c>
      <c r="AD18">
        <f t="shared" si="1"/>
        <v>20</v>
      </c>
    </row>
    <row r="19" spans="2:30" x14ac:dyDescent="0.25">
      <c r="B19" t="s">
        <v>219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33</v>
      </c>
      <c r="N19">
        <v>155</v>
      </c>
      <c r="O19">
        <v>0</v>
      </c>
      <c r="P19">
        <v>0</v>
      </c>
      <c r="Q19">
        <v>159</v>
      </c>
      <c r="R19">
        <v>158</v>
      </c>
      <c r="S19">
        <v>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f t="shared" si="0"/>
        <v>20.076923076923077</v>
      </c>
      <c r="AD19">
        <f t="shared" si="1"/>
        <v>21</v>
      </c>
    </row>
    <row r="20" spans="2:30" x14ac:dyDescent="0.25">
      <c r="B20" t="s">
        <v>146</v>
      </c>
      <c r="C20">
        <v>0</v>
      </c>
      <c r="D20">
        <v>0</v>
      </c>
      <c r="E20">
        <v>0</v>
      </c>
      <c r="F20">
        <v>0</v>
      </c>
      <c r="G20">
        <v>15</v>
      </c>
      <c r="H20">
        <v>0</v>
      </c>
      <c r="I20">
        <v>0</v>
      </c>
      <c r="J20">
        <v>8</v>
      </c>
      <c r="K20">
        <v>7</v>
      </c>
      <c r="L20">
        <v>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f t="shared" si="0"/>
        <v>1.4230769230769231</v>
      </c>
      <c r="AD20">
        <f t="shared" si="1"/>
        <v>22</v>
      </c>
    </row>
    <row r="21" spans="2:30" x14ac:dyDescent="0.25">
      <c r="B21" t="s">
        <v>175</v>
      </c>
      <c r="C21">
        <v>0</v>
      </c>
      <c r="D21">
        <v>0</v>
      </c>
      <c r="E21">
        <v>0</v>
      </c>
      <c r="F21">
        <v>4</v>
      </c>
      <c r="G21">
        <v>4</v>
      </c>
      <c r="H21">
        <v>0</v>
      </c>
      <c r="I21">
        <v>0</v>
      </c>
      <c r="J21">
        <v>0</v>
      </c>
      <c r="K21">
        <v>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0</v>
      </c>
      <c r="AC21">
        <f t="shared" si="0"/>
        <v>0.69230769230769229</v>
      </c>
      <c r="AD21">
        <f t="shared" si="1"/>
        <v>22</v>
      </c>
    </row>
    <row r="22" spans="2:30" x14ac:dyDescent="0.25">
      <c r="B22" t="s">
        <v>216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80</v>
      </c>
      <c r="L22">
        <v>0</v>
      </c>
      <c r="M22">
        <v>0</v>
      </c>
      <c r="N22">
        <v>0</v>
      </c>
      <c r="O22">
        <v>0</v>
      </c>
      <c r="P22">
        <v>0</v>
      </c>
      <c r="Q22">
        <v>259</v>
      </c>
      <c r="R22">
        <v>422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f t="shared" si="0"/>
        <v>29.26923076923077</v>
      </c>
      <c r="AD22">
        <f t="shared" si="1"/>
        <v>23</v>
      </c>
    </row>
    <row r="23" spans="2:30" x14ac:dyDescent="0.25">
      <c r="B23" t="s">
        <v>353</v>
      </c>
      <c r="C23">
        <v>0</v>
      </c>
      <c r="D23">
        <v>0</v>
      </c>
      <c r="E23">
        <v>0</v>
      </c>
      <c r="F23">
        <v>6</v>
      </c>
      <c r="G23">
        <v>0</v>
      </c>
      <c r="H23">
        <v>0</v>
      </c>
      <c r="I23">
        <v>0</v>
      </c>
      <c r="J23">
        <v>0</v>
      </c>
      <c r="K23">
        <v>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f t="shared" si="0"/>
        <v>0.5</v>
      </c>
      <c r="AD23">
        <f t="shared" si="1"/>
        <v>24</v>
      </c>
    </row>
    <row r="24" spans="2:30" x14ac:dyDescent="0.25">
      <c r="B24" t="s">
        <v>141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 t="shared" si="0"/>
        <v>7.6923076923076927E-2</v>
      </c>
      <c r="AD24">
        <f t="shared" si="1"/>
        <v>25</v>
      </c>
    </row>
    <row r="25" spans="2:30" x14ac:dyDescent="0.25">
      <c r="B25" t="s">
        <v>32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f t="shared" si="0"/>
        <v>0</v>
      </c>
      <c r="AD25">
        <f t="shared" si="1"/>
        <v>26</v>
      </c>
    </row>
    <row r="26" spans="2:30" x14ac:dyDescent="0.25">
      <c r="B26" t="s">
        <v>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f t="shared" si="0"/>
        <v>0</v>
      </c>
      <c r="AD26">
        <f t="shared" si="1"/>
        <v>26</v>
      </c>
    </row>
    <row r="27" spans="2:30" x14ac:dyDescent="0.25"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0"/>
        <v>0</v>
      </c>
      <c r="AD27">
        <f t="shared" si="1"/>
        <v>26</v>
      </c>
    </row>
    <row r="28" spans="2:30" x14ac:dyDescent="0.25">
      <c r="B28" t="s">
        <v>346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0"/>
        <v>0</v>
      </c>
      <c r="AD28">
        <f t="shared" si="1"/>
        <v>26</v>
      </c>
    </row>
    <row r="29" spans="2:30" x14ac:dyDescent="0.25">
      <c r="B29" t="s">
        <v>349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0"/>
        <v>0</v>
      </c>
      <c r="AD29">
        <f t="shared" si="1"/>
        <v>26</v>
      </c>
    </row>
    <row r="30" spans="2:30" x14ac:dyDescent="0.25">
      <c r="B30" t="s">
        <v>351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0"/>
        <v>0</v>
      </c>
      <c r="AD30">
        <f t="shared" si="1"/>
        <v>26</v>
      </c>
    </row>
    <row r="31" spans="2:30" x14ac:dyDescent="0.25">
      <c r="B31" t="s">
        <v>133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0"/>
        <v>0</v>
      </c>
      <c r="AD31">
        <f t="shared" si="1"/>
        <v>26</v>
      </c>
    </row>
    <row r="32" spans="2:30" x14ac:dyDescent="0.25">
      <c r="B32" t="s">
        <v>151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0"/>
        <v>0</v>
      </c>
      <c r="AD32">
        <f t="shared" si="1"/>
        <v>26</v>
      </c>
    </row>
    <row r="33" spans="2:30" x14ac:dyDescent="0.25">
      <c r="B33" t="s">
        <v>152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0"/>
        <v>0</v>
      </c>
      <c r="AD33">
        <f t="shared" si="1"/>
        <v>26</v>
      </c>
    </row>
    <row r="34" spans="2:30" x14ac:dyDescent="0.25">
      <c r="B34" t="s">
        <v>155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0"/>
        <v>0</v>
      </c>
      <c r="AD34">
        <f t="shared" si="1"/>
        <v>26</v>
      </c>
    </row>
    <row r="35" spans="2:30" x14ac:dyDescent="0.25">
      <c r="B35" t="s">
        <v>157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f t="shared" si="0"/>
        <v>0</v>
      </c>
      <c r="AD35">
        <f t="shared" si="1"/>
        <v>26</v>
      </c>
    </row>
    <row r="36" spans="2:30" x14ac:dyDescent="0.25">
      <c r="B36" t="s">
        <v>356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f t="shared" si="0"/>
        <v>0</v>
      </c>
      <c r="AD36">
        <f t="shared" si="1"/>
        <v>26</v>
      </c>
    </row>
    <row r="37" spans="2:30" x14ac:dyDescent="0.25">
      <c r="B37" t="s">
        <v>190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0"/>
        <v>0</v>
      </c>
      <c r="AD37">
        <f t="shared" si="1"/>
        <v>26</v>
      </c>
    </row>
    <row r="38" spans="2:30" x14ac:dyDescent="0.25">
      <c r="B38" t="s">
        <v>205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f t="shared" si="0"/>
        <v>0</v>
      </c>
      <c r="AD38">
        <f t="shared" si="1"/>
        <v>26</v>
      </c>
    </row>
    <row r="39" spans="2:30" x14ac:dyDescent="0.25">
      <c r="B39" t="s">
        <v>211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f t="shared" si="0"/>
        <v>0</v>
      </c>
      <c r="AD39">
        <f t="shared" si="1"/>
        <v>26</v>
      </c>
    </row>
    <row r="40" spans="2:30" x14ac:dyDescent="0.25">
      <c r="B40" t="s">
        <v>214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0"/>
        <v>0</v>
      </c>
      <c r="AD40">
        <f t="shared" si="1"/>
        <v>26</v>
      </c>
    </row>
    <row r="41" spans="2:30" x14ac:dyDescent="0.25">
      <c r="B41" t="s">
        <v>357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f t="shared" si="0"/>
        <v>0</v>
      </c>
      <c r="AD41">
        <f t="shared" si="1"/>
        <v>26</v>
      </c>
    </row>
  </sheetData>
  <autoFilter ref="B2:AD2" xr:uid="{D382AC08-FB42-457B-9F31-5ACF3A0D1CF7}">
    <sortState xmlns:xlrd2="http://schemas.microsoft.com/office/spreadsheetml/2017/richdata2" ref="B3:AD42">
      <sortCondition ref="AD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0FBD-7409-4E6D-8E02-BE0F9F267AA5}">
  <dimension ref="B2:AF41"/>
  <sheetViews>
    <sheetView topLeftCell="B1" workbookViewId="0">
      <selection activeCell="B11" sqref="B3:B11"/>
    </sheetView>
  </sheetViews>
  <sheetFormatPr defaultRowHeight="15" x14ac:dyDescent="0.25"/>
  <cols>
    <col min="2" max="2" width="59.7109375" bestFit="1" customWidth="1"/>
    <col min="3" max="30" width="24.28515625" bestFit="1" customWidth="1"/>
    <col min="31" max="31" width="21.140625" bestFit="1" customWidth="1"/>
    <col min="32" max="32" width="23.42578125" bestFit="1" customWidth="1"/>
  </cols>
  <sheetData>
    <row r="2" spans="2:32" x14ac:dyDescent="0.25">
      <c r="B2" t="s">
        <v>225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269</v>
      </c>
      <c r="T2" t="s">
        <v>270</v>
      </c>
      <c r="U2" t="s">
        <v>271</v>
      </c>
      <c r="V2" t="s">
        <v>272</v>
      </c>
      <c r="W2" t="s">
        <v>273</v>
      </c>
      <c r="X2" t="s">
        <v>274</v>
      </c>
      <c r="Y2" t="s">
        <v>275</v>
      </c>
      <c r="Z2" t="s">
        <v>276</v>
      </c>
      <c r="AA2" t="s">
        <v>277</v>
      </c>
      <c r="AB2" t="s">
        <v>278</v>
      </c>
      <c r="AC2" t="s">
        <v>279</v>
      </c>
      <c r="AD2" t="s">
        <v>280</v>
      </c>
      <c r="AE2" t="s">
        <v>224</v>
      </c>
      <c r="AF2" t="s">
        <v>226</v>
      </c>
    </row>
    <row r="3" spans="2:32" x14ac:dyDescent="0.25">
      <c r="B3" s="1" t="s">
        <v>344</v>
      </c>
      <c r="C3">
        <v>2</v>
      </c>
      <c r="D3">
        <v>19</v>
      </c>
      <c r="E3">
        <v>20</v>
      </c>
      <c r="F3">
        <v>13</v>
      </c>
      <c r="G3">
        <v>27</v>
      </c>
      <c r="H3">
        <v>29</v>
      </c>
      <c r="I3">
        <v>15</v>
      </c>
      <c r="J3">
        <v>30</v>
      </c>
      <c r="K3">
        <v>25</v>
      </c>
      <c r="L3">
        <v>25</v>
      </c>
      <c r="M3">
        <v>20</v>
      </c>
      <c r="N3">
        <v>12</v>
      </c>
      <c r="O3">
        <v>10</v>
      </c>
      <c r="P3">
        <v>23</v>
      </c>
      <c r="Q3">
        <v>36</v>
      </c>
      <c r="R3">
        <v>48</v>
      </c>
      <c r="S3">
        <v>47</v>
      </c>
      <c r="T3">
        <v>49</v>
      </c>
      <c r="U3">
        <v>47</v>
      </c>
      <c r="V3">
        <v>48</v>
      </c>
      <c r="W3">
        <v>31</v>
      </c>
      <c r="X3">
        <v>41</v>
      </c>
      <c r="Y3">
        <v>38</v>
      </c>
      <c r="Z3">
        <v>21</v>
      </c>
      <c r="AA3">
        <v>35</v>
      </c>
      <c r="AB3">
        <v>47</v>
      </c>
      <c r="AC3">
        <v>34</v>
      </c>
      <c r="AD3">
        <v>15</v>
      </c>
      <c r="AE3">
        <f t="shared" ref="AE3:AE41" si="0">AVERAGE(C3:AD3)</f>
        <v>28.821428571428573</v>
      </c>
      <c r="AF3">
        <f t="shared" ref="AF3:AF41" si="1">COUNTIF(C3:AD3,"0")</f>
        <v>0</v>
      </c>
    </row>
    <row r="4" spans="2:32" x14ac:dyDescent="0.25">
      <c r="B4" s="1" t="s">
        <v>348</v>
      </c>
      <c r="C4">
        <v>2</v>
      </c>
      <c r="D4">
        <v>5</v>
      </c>
      <c r="E4">
        <v>10</v>
      </c>
      <c r="F4">
        <v>16</v>
      </c>
      <c r="G4">
        <v>12</v>
      </c>
      <c r="H4">
        <v>4</v>
      </c>
      <c r="I4">
        <v>19</v>
      </c>
      <c r="J4">
        <v>9</v>
      </c>
      <c r="K4">
        <v>18</v>
      </c>
      <c r="L4">
        <v>23</v>
      </c>
      <c r="M4">
        <v>38</v>
      </c>
      <c r="N4">
        <v>19</v>
      </c>
      <c r="O4">
        <v>9</v>
      </c>
      <c r="P4">
        <v>16</v>
      </c>
      <c r="Q4">
        <v>18</v>
      </c>
      <c r="R4">
        <v>22</v>
      </c>
      <c r="S4">
        <v>16</v>
      </c>
      <c r="T4">
        <v>17</v>
      </c>
      <c r="U4">
        <v>21</v>
      </c>
      <c r="V4">
        <v>4</v>
      </c>
      <c r="W4">
        <v>13</v>
      </c>
      <c r="X4">
        <v>6</v>
      </c>
      <c r="Y4">
        <v>10</v>
      </c>
      <c r="Z4">
        <v>30</v>
      </c>
      <c r="AA4">
        <v>5</v>
      </c>
      <c r="AB4">
        <v>13</v>
      </c>
      <c r="AC4">
        <v>8</v>
      </c>
      <c r="AD4">
        <v>2</v>
      </c>
      <c r="AE4">
        <f t="shared" si="0"/>
        <v>13.75</v>
      </c>
      <c r="AF4">
        <f t="shared" si="1"/>
        <v>0</v>
      </c>
    </row>
    <row r="5" spans="2:32" x14ac:dyDescent="0.25">
      <c r="B5" s="1" t="s">
        <v>158</v>
      </c>
      <c r="C5">
        <v>655</v>
      </c>
      <c r="D5">
        <v>15012</v>
      </c>
      <c r="E5">
        <v>16528</v>
      </c>
      <c r="F5">
        <v>13771</v>
      </c>
      <c r="G5">
        <v>13106</v>
      </c>
      <c r="H5">
        <v>11828</v>
      </c>
      <c r="I5">
        <v>26937</v>
      </c>
      <c r="J5">
        <v>23491</v>
      </c>
      <c r="K5">
        <v>21936</v>
      </c>
      <c r="L5">
        <v>23143</v>
      </c>
      <c r="M5">
        <v>26034</v>
      </c>
      <c r="N5">
        <v>13734</v>
      </c>
      <c r="O5">
        <v>12219</v>
      </c>
      <c r="P5">
        <v>50599</v>
      </c>
      <c r="Q5">
        <v>28040</v>
      </c>
      <c r="R5">
        <v>24123</v>
      </c>
      <c r="S5">
        <v>18410</v>
      </c>
      <c r="T5">
        <v>28615</v>
      </c>
      <c r="U5">
        <v>33882</v>
      </c>
      <c r="V5">
        <v>24026</v>
      </c>
      <c r="W5">
        <v>30858</v>
      </c>
      <c r="X5">
        <v>20615</v>
      </c>
      <c r="Y5">
        <v>19758</v>
      </c>
      <c r="Z5">
        <v>23277</v>
      </c>
      <c r="AA5">
        <v>17042</v>
      </c>
      <c r="AB5">
        <v>17841</v>
      </c>
      <c r="AC5">
        <v>19370</v>
      </c>
      <c r="AD5">
        <v>11000</v>
      </c>
      <c r="AE5">
        <f t="shared" si="0"/>
        <v>20923.214285714286</v>
      </c>
      <c r="AF5">
        <f t="shared" si="1"/>
        <v>0</v>
      </c>
    </row>
    <row r="6" spans="2:32" x14ac:dyDescent="0.25">
      <c r="B6" s="1" t="s">
        <v>222</v>
      </c>
      <c r="C6">
        <v>2051</v>
      </c>
      <c r="D6">
        <v>16913</v>
      </c>
      <c r="E6">
        <v>20688</v>
      </c>
      <c r="F6">
        <v>19921</v>
      </c>
      <c r="G6">
        <v>13504</v>
      </c>
      <c r="H6">
        <v>13992</v>
      </c>
      <c r="I6">
        <v>23251</v>
      </c>
      <c r="J6">
        <v>13881</v>
      </c>
      <c r="K6">
        <v>19652</v>
      </c>
      <c r="L6">
        <v>24427</v>
      </c>
      <c r="M6">
        <v>20994</v>
      </c>
      <c r="N6">
        <v>20267</v>
      </c>
      <c r="O6">
        <v>15800</v>
      </c>
      <c r="P6">
        <v>22303</v>
      </c>
      <c r="Q6">
        <v>22844</v>
      </c>
      <c r="R6">
        <v>22458</v>
      </c>
      <c r="S6">
        <v>23012</v>
      </c>
      <c r="T6">
        <v>20022</v>
      </c>
      <c r="U6">
        <v>17870</v>
      </c>
      <c r="V6">
        <v>18279</v>
      </c>
      <c r="W6">
        <v>22320</v>
      </c>
      <c r="X6">
        <v>19836</v>
      </c>
      <c r="Y6">
        <v>16912</v>
      </c>
      <c r="Z6">
        <v>21740</v>
      </c>
      <c r="AA6">
        <v>13902</v>
      </c>
      <c r="AB6">
        <v>13739</v>
      </c>
      <c r="AC6">
        <v>16266</v>
      </c>
      <c r="AD6">
        <v>15990</v>
      </c>
      <c r="AE6">
        <f t="shared" si="0"/>
        <v>18315.5</v>
      </c>
      <c r="AF6">
        <f t="shared" si="1"/>
        <v>0</v>
      </c>
    </row>
    <row r="7" spans="2:32" x14ac:dyDescent="0.25">
      <c r="B7" s="1" t="s">
        <v>347</v>
      </c>
      <c r="C7">
        <v>0</v>
      </c>
      <c r="D7">
        <v>12</v>
      </c>
      <c r="E7">
        <v>11</v>
      </c>
      <c r="F7">
        <v>4</v>
      </c>
      <c r="G7">
        <v>14</v>
      </c>
      <c r="H7">
        <v>4</v>
      </c>
      <c r="I7">
        <v>7</v>
      </c>
      <c r="J7">
        <v>8</v>
      </c>
      <c r="K7">
        <v>21</v>
      </c>
      <c r="L7">
        <v>8</v>
      </c>
      <c r="M7">
        <v>10</v>
      </c>
      <c r="N7">
        <v>10</v>
      </c>
      <c r="O7">
        <v>5</v>
      </c>
      <c r="P7">
        <v>13</v>
      </c>
      <c r="Q7">
        <v>12</v>
      </c>
      <c r="R7">
        <v>5</v>
      </c>
      <c r="S7">
        <v>15</v>
      </c>
      <c r="T7">
        <v>6</v>
      </c>
      <c r="U7">
        <v>21</v>
      </c>
      <c r="V7">
        <v>7</v>
      </c>
      <c r="W7">
        <v>20</v>
      </c>
      <c r="X7">
        <v>15</v>
      </c>
      <c r="Y7">
        <v>8</v>
      </c>
      <c r="Z7">
        <v>11</v>
      </c>
      <c r="AA7">
        <v>12</v>
      </c>
      <c r="AB7">
        <v>4</v>
      </c>
      <c r="AC7">
        <v>8</v>
      </c>
      <c r="AD7">
        <v>1</v>
      </c>
      <c r="AE7">
        <f t="shared" si="0"/>
        <v>9.7142857142857135</v>
      </c>
      <c r="AF7">
        <f t="shared" si="1"/>
        <v>1</v>
      </c>
    </row>
    <row r="8" spans="2:32" x14ac:dyDescent="0.25">
      <c r="B8" s="1" t="s">
        <v>352</v>
      </c>
      <c r="C8">
        <v>0</v>
      </c>
      <c r="D8">
        <v>324</v>
      </c>
      <c r="E8">
        <v>373</v>
      </c>
      <c r="F8">
        <v>448</v>
      </c>
      <c r="G8">
        <v>460</v>
      </c>
      <c r="H8">
        <v>385</v>
      </c>
      <c r="I8">
        <v>431</v>
      </c>
      <c r="J8">
        <v>370</v>
      </c>
      <c r="K8">
        <v>4044</v>
      </c>
      <c r="L8">
        <v>6274</v>
      </c>
      <c r="M8">
        <v>6445</v>
      </c>
      <c r="N8">
        <v>6658</v>
      </c>
      <c r="O8">
        <v>6657</v>
      </c>
      <c r="P8">
        <v>6609</v>
      </c>
      <c r="Q8">
        <v>8203</v>
      </c>
      <c r="R8">
        <v>9319</v>
      </c>
      <c r="S8">
        <v>8201</v>
      </c>
      <c r="T8">
        <v>8201</v>
      </c>
      <c r="U8">
        <v>6659</v>
      </c>
      <c r="V8">
        <v>6658</v>
      </c>
      <c r="W8">
        <v>5776</v>
      </c>
      <c r="X8">
        <v>5552</v>
      </c>
      <c r="Y8">
        <v>6657</v>
      </c>
      <c r="Z8">
        <v>8203</v>
      </c>
      <c r="AA8">
        <v>6652</v>
      </c>
      <c r="AB8">
        <v>6657</v>
      </c>
      <c r="AC8">
        <v>6659</v>
      </c>
      <c r="AD8">
        <v>6659</v>
      </c>
      <c r="AE8">
        <f t="shared" si="0"/>
        <v>4983.3571428571431</v>
      </c>
      <c r="AF8">
        <f t="shared" si="1"/>
        <v>1</v>
      </c>
    </row>
    <row r="9" spans="2:32" x14ac:dyDescent="0.25">
      <c r="B9" s="1" t="s">
        <v>354</v>
      </c>
      <c r="C9">
        <v>3</v>
      </c>
      <c r="D9">
        <v>1168</v>
      </c>
      <c r="E9">
        <v>1272</v>
      </c>
      <c r="F9">
        <v>1289</v>
      </c>
      <c r="G9">
        <v>244</v>
      </c>
      <c r="H9">
        <v>60</v>
      </c>
      <c r="I9">
        <v>1245</v>
      </c>
      <c r="J9">
        <v>1344</v>
      </c>
      <c r="K9">
        <v>1290</v>
      </c>
      <c r="L9">
        <v>2051</v>
      </c>
      <c r="M9">
        <v>1547</v>
      </c>
      <c r="N9">
        <v>345</v>
      </c>
      <c r="O9">
        <v>44</v>
      </c>
      <c r="P9">
        <v>1934</v>
      </c>
      <c r="Q9">
        <v>1396</v>
      </c>
      <c r="R9">
        <v>1624</v>
      </c>
      <c r="S9">
        <v>1945</v>
      </c>
      <c r="T9">
        <v>988</v>
      </c>
      <c r="U9">
        <v>324</v>
      </c>
      <c r="V9">
        <v>62</v>
      </c>
      <c r="W9">
        <v>1448</v>
      </c>
      <c r="X9">
        <v>1442</v>
      </c>
      <c r="Y9">
        <v>1146</v>
      </c>
      <c r="Z9">
        <v>723</v>
      </c>
      <c r="AA9">
        <v>97</v>
      </c>
      <c r="AB9">
        <v>15</v>
      </c>
      <c r="AC9">
        <v>0</v>
      </c>
      <c r="AD9">
        <v>1</v>
      </c>
      <c r="AE9">
        <f t="shared" si="0"/>
        <v>894.53571428571433</v>
      </c>
      <c r="AF9">
        <f t="shared" si="1"/>
        <v>1</v>
      </c>
    </row>
    <row r="10" spans="2:32" x14ac:dyDescent="0.25">
      <c r="B10" s="1" t="s">
        <v>220</v>
      </c>
      <c r="C10">
        <v>2</v>
      </c>
      <c r="D10">
        <v>3</v>
      </c>
      <c r="E10">
        <v>0</v>
      </c>
      <c r="F10">
        <v>3</v>
      </c>
      <c r="G10">
        <v>2</v>
      </c>
      <c r="H10">
        <v>7</v>
      </c>
      <c r="I10">
        <v>1</v>
      </c>
      <c r="J10">
        <v>5</v>
      </c>
      <c r="K10">
        <v>3</v>
      </c>
      <c r="L10">
        <v>3</v>
      </c>
      <c r="M10">
        <v>8</v>
      </c>
      <c r="N10">
        <v>3</v>
      </c>
      <c r="O10">
        <v>0</v>
      </c>
      <c r="P10">
        <v>3</v>
      </c>
      <c r="Q10">
        <v>4</v>
      </c>
      <c r="R10">
        <v>6</v>
      </c>
      <c r="S10">
        <v>4</v>
      </c>
      <c r="T10">
        <v>10</v>
      </c>
      <c r="U10">
        <v>4</v>
      </c>
      <c r="V10">
        <v>4</v>
      </c>
      <c r="W10">
        <v>18</v>
      </c>
      <c r="X10">
        <v>13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f t="shared" si="0"/>
        <v>4.4285714285714288</v>
      </c>
      <c r="AF10">
        <f t="shared" si="1"/>
        <v>2</v>
      </c>
    </row>
    <row r="11" spans="2:32" x14ac:dyDescent="0.25">
      <c r="B11" s="1" t="s">
        <v>50</v>
      </c>
      <c r="C11">
        <v>3</v>
      </c>
      <c r="D11">
        <v>6</v>
      </c>
      <c r="E11">
        <v>10</v>
      </c>
      <c r="F11">
        <v>40</v>
      </c>
      <c r="G11">
        <v>11</v>
      </c>
      <c r="H11">
        <v>1</v>
      </c>
      <c r="I11">
        <v>11</v>
      </c>
      <c r="J11">
        <v>5</v>
      </c>
      <c r="K11">
        <v>0</v>
      </c>
      <c r="L11">
        <v>20</v>
      </c>
      <c r="M11">
        <v>30</v>
      </c>
      <c r="N11">
        <v>6</v>
      </c>
      <c r="O11">
        <v>24</v>
      </c>
      <c r="P11">
        <v>13</v>
      </c>
      <c r="Q11">
        <v>18</v>
      </c>
      <c r="R11">
        <v>9</v>
      </c>
      <c r="S11">
        <v>16</v>
      </c>
      <c r="T11">
        <v>0</v>
      </c>
      <c r="U11">
        <v>22</v>
      </c>
      <c r="V11">
        <v>4</v>
      </c>
      <c r="W11">
        <v>19</v>
      </c>
      <c r="X11">
        <v>9</v>
      </c>
      <c r="Y11">
        <v>56</v>
      </c>
      <c r="Z11">
        <v>6</v>
      </c>
      <c r="AA11">
        <v>13</v>
      </c>
      <c r="AB11">
        <v>6</v>
      </c>
      <c r="AC11">
        <v>6</v>
      </c>
      <c r="AD11">
        <v>0</v>
      </c>
      <c r="AE11">
        <f t="shared" si="0"/>
        <v>13</v>
      </c>
      <c r="AF11">
        <f t="shared" si="1"/>
        <v>3</v>
      </c>
    </row>
    <row r="12" spans="2:32" x14ac:dyDescent="0.25">
      <c r="B12" t="s">
        <v>350</v>
      </c>
      <c r="C12">
        <v>0</v>
      </c>
      <c r="D12">
        <v>1</v>
      </c>
      <c r="E12">
        <v>1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1</v>
      </c>
      <c r="M12">
        <v>4</v>
      </c>
      <c r="N12">
        <v>0</v>
      </c>
      <c r="O12">
        <v>0</v>
      </c>
      <c r="P12">
        <v>1</v>
      </c>
      <c r="Q12">
        <v>1</v>
      </c>
      <c r="R12">
        <v>1</v>
      </c>
      <c r="S12">
        <v>3</v>
      </c>
      <c r="T12">
        <v>1</v>
      </c>
      <c r="U12">
        <v>0</v>
      </c>
      <c r="V12">
        <v>0</v>
      </c>
      <c r="W12">
        <v>1</v>
      </c>
      <c r="X12">
        <v>1</v>
      </c>
      <c r="Y12">
        <v>2</v>
      </c>
      <c r="Z12">
        <v>0</v>
      </c>
      <c r="AA12">
        <v>2</v>
      </c>
      <c r="AB12">
        <v>1</v>
      </c>
      <c r="AC12">
        <v>2</v>
      </c>
      <c r="AD12">
        <v>1</v>
      </c>
      <c r="AE12">
        <f t="shared" si="0"/>
        <v>0.9642857142857143</v>
      </c>
      <c r="AF12">
        <f t="shared" si="1"/>
        <v>11</v>
      </c>
    </row>
    <row r="13" spans="2:32" x14ac:dyDescent="0.25">
      <c r="B13" t="s">
        <v>355</v>
      </c>
      <c r="C13">
        <v>0</v>
      </c>
      <c r="D13">
        <v>59</v>
      </c>
      <c r="E13">
        <v>214</v>
      </c>
      <c r="F13">
        <v>9</v>
      </c>
      <c r="G13">
        <v>0</v>
      </c>
      <c r="H13">
        <v>0</v>
      </c>
      <c r="I13">
        <v>93</v>
      </c>
      <c r="J13">
        <v>10</v>
      </c>
      <c r="K13">
        <v>250</v>
      </c>
      <c r="L13">
        <v>8</v>
      </c>
      <c r="M13">
        <v>10</v>
      </c>
      <c r="N13">
        <v>0</v>
      </c>
      <c r="O13">
        <v>0</v>
      </c>
      <c r="P13">
        <v>148</v>
      </c>
      <c r="Q13">
        <v>180</v>
      </c>
      <c r="R13">
        <v>162</v>
      </c>
      <c r="S13">
        <v>47</v>
      </c>
      <c r="T13">
        <v>4</v>
      </c>
      <c r="U13">
        <v>0</v>
      </c>
      <c r="V13">
        <v>0</v>
      </c>
      <c r="W13">
        <v>14</v>
      </c>
      <c r="X13">
        <v>2</v>
      </c>
      <c r="Y13">
        <v>2</v>
      </c>
      <c r="Z13">
        <v>2</v>
      </c>
      <c r="AA13">
        <v>0</v>
      </c>
      <c r="AB13">
        <v>0</v>
      </c>
      <c r="AC13">
        <v>0</v>
      </c>
      <c r="AD13">
        <v>0</v>
      </c>
      <c r="AE13">
        <f t="shared" si="0"/>
        <v>43.357142857142854</v>
      </c>
      <c r="AF13">
        <f t="shared" si="1"/>
        <v>11</v>
      </c>
    </row>
    <row r="14" spans="2:32" x14ac:dyDescent="0.25">
      <c r="B14" t="s">
        <v>161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2</v>
      </c>
      <c r="Q14">
        <v>1</v>
      </c>
      <c r="R14">
        <v>2</v>
      </c>
      <c r="S14">
        <v>2</v>
      </c>
      <c r="T14">
        <v>3</v>
      </c>
      <c r="U14">
        <v>0</v>
      </c>
      <c r="V14">
        <v>2</v>
      </c>
      <c r="W14">
        <v>1</v>
      </c>
      <c r="X14">
        <v>3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f t="shared" si="0"/>
        <v>0.9285714285714286</v>
      </c>
      <c r="AF14">
        <f t="shared" si="1"/>
        <v>11</v>
      </c>
    </row>
    <row r="15" spans="2:32" x14ac:dyDescent="0.25">
      <c r="B15" t="s">
        <v>73</v>
      </c>
      <c r="C15">
        <v>0</v>
      </c>
      <c r="D15">
        <v>0</v>
      </c>
      <c r="E15">
        <v>5</v>
      </c>
      <c r="F15">
        <v>2</v>
      </c>
      <c r="G15">
        <v>0</v>
      </c>
      <c r="H15">
        <v>0</v>
      </c>
      <c r="I15">
        <v>44</v>
      </c>
      <c r="J15">
        <v>14</v>
      </c>
      <c r="K15">
        <v>46</v>
      </c>
      <c r="L15">
        <v>9</v>
      </c>
      <c r="M15">
        <v>10</v>
      </c>
      <c r="N15">
        <v>0</v>
      </c>
      <c r="O15">
        <v>0</v>
      </c>
      <c r="P15">
        <v>5</v>
      </c>
      <c r="Q15">
        <v>0</v>
      </c>
      <c r="R15">
        <v>14</v>
      </c>
      <c r="S15">
        <v>0</v>
      </c>
      <c r="T15">
        <v>7</v>
      </c>
      <c r="U15">
        <v>5</v>
      </c>
      <c r="V15">
        <v>0</v>
      </c>
      <c r="W15">
        <v>6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f t="shared" si="0"/>
        <v>6.0357142857142856</v>
      </c>
      <c r="AF15">
        <f t="shared" si="1"/>
        <v>14</v>
      </c>
    </row>
    <row r="16" spans="2:32" x14ac:dyDescent="0.25">
      <c r="B16" t="s">
        <v>343</v>
      </c>
      <c r="C16">
        <v>0</v>
      </c>
      <c r="D16">
        <v>114</v>
      </c>
      <c r="E16">
        <v>120</v>
      </c>
      <c r="F16">
        <v>0</v>
      </c>
      <c r="G16">
        <v>0</v>
      </c>
      <c r="H16">
        <v>0</v>
      </c>
      <c r="I16">
        <v>208</v>
      </c>
      <c r="J16">
        <v>312</v>
      </c>
      <c r="K16">
        <v>0</v>
      </c>
      <c r="L16">
        <v>0</v>
      </c>
      <c r="M16">
        <v>0</v>
      </c>
      <c r="N16">
        <v>0</v>
      </c>
      <c r="O16">
        <v>0</v>
      </c>
      <c r="P16">
        <v>409</v>
      </c>
      <c r="Q16">
        <v>73</v>
      </c>
      <c r="R16">
        <v>375</v>
      </c>
      <c r="S16">
        <v>1565</v>
      </c>
      <c r="T16">
        <v>146</v>
      </c>
      <c r="U16">
        <v>0</v>
      </c>
      <c r="V16">
        <v>0</v>
      </c>
      <c r="W16">
        <v>0</v>
      </c>
      <c r="X16">
        <v>146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f t="shared" si="0"/>
        <v>123.85714285714286</v>
      </c>
      <c r="AF16">
        <f t="shared" si="1"/>
        <v>18</v>
      </c>
    </row>
    <row r="17" spans="2:32" x14ac:dyDescent="0.25">
      <c r="B17" t="s">
        <v>345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1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f t="shared" si="0"/>
        <v>0.4642857142857143</v>
      </c>
      <c r="AF17">
        <f t="shared" si="1"/>
        <v>22</v>
      </c>
    </row>
    <row r="18" spans="2:32" x14ac:dyDescent="0.25">
      <c r="B18" t="s">
        <v>155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52</v>
      </c>
      <c r="N18">
        <v>0</v>
      </c>
      <c r="O18">
        <v>0</v>
      </c>
      <c r="P18">
        <v>0</v>
      </c>
      <c r="Q18">
        <v>97</v>
      </c>
      <c r="R18">
        <v>5</v>
      </c>
      <c r="S18">
        <v>0</v>
      </c>
      <c r="T18">
        <v>0</v>
      </c>
      <c r="U18">
        <v>0</v>
      </c>
      <c r="V18">
        <v>0</v>
      </c>
      <c r="W18">
        <v>2</v>
      </c>
      <c r="X18">
        <v>38</v>
      </c>
      <c r="Y18">
        <v>35</v>
      </c>
      <c r="Z18">
        <v>0</v>
      </c>
      <c r="AA18">
        <v>0</v>
      </c>
      <c r="AB18">
        <v>0</v>
      </c>
      <c r="AC18">
        <v>0</v>
      </c>
      <c r="AD18">
        <v>0</v>
      </c>
      <c r="AE18">
        <f t="shared" si="0"/>
        <v>8.1785714285714288</v>
      </c>
      <c r="AF18">
        <f t="shared" si="1"/>
        <v>22</v>
      </c>
    </row>
    <row r="19" spans="2:32" x14ac:dyDescent="0.25">
      <c r="B19" t="s">
        <v>146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14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f t="shared" si="0"/>
        <v>0.6071428571428571</v>
      </c>
      <c r="AF19">
        <f t="shared" si="1"/>
        <v>26</v>
      </c>
    </row>
    <row r="20" spans="2:32" x14ac:dyDescent="0.25">
      <c r="B20" t="s">
        <v>175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f t="shared" si="0"/>
        <v>0.32142857142857145</v>
      </c>
      <c r="AF20">
        <f t="shared" si="1"/>
        <v>26</v>
      </c>
    </row>
    <row r="21" spans="2:32" x14ac:dyDescent="0.25">
      <c r="B21" t="s">
        <v>157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f t="shared" si="0"/>
        <v>1.4285714285714286</v>
      </c>
      <c r="AF21">
        <f t="shared" si="1"/>
        <v>27</v>
      </c>
    </row>
    <row r="22" spans="2:32" x14ac:dyDescent="0.25"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f t="shared" si="0"/>
        <v>0</v>
      </c>
      <c r="AF22">
        <f t="shared" si="1"/>
        <v>28</v>
      </c>
    </row>
    <row r="23" spans="2:32" x14ac:dyDescent="0.25"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f t="shared" si="0"/>
        <v>0</v>
      </c>
      <c r="AF23">
        <f t="shared" si="1"/>
        <v>28</v>
      </c>
    </row>
    <row r="24" spans="2:32" x14ac:dyDescent="0.25"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f t="shared" si="0"/>
        <v>0</v>
      </c>
      <c r="AF24">
        <f t="shared" si="1"/>
        <v>28</v>
      </c>
    </row>
    <row r="25" spans="2:32" x14ac:dyDescent="0.25">
      <c r="B25" t="s">
        <v>346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f t="shared" si="0"/>
        <v>0</v>
      </c>
      <c r="AF25">
        <f t="shared" si="1"/>
        <v>28</v>
      </c>
    </row>
    <row r="26" spans="2:32" x14ac:dyDescent="0.25">
      <c r="B26" t="s">
        <v>349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f t="shared" si="0"/>
        <v>0</v>
      </c>
      <c r="AF26">
        <f t="shared" si="1"/>
        <v>28</v>
      </c>
    </row>
    <row r="27" spans="2:32" x14ac:dyDescent="0.25">
      <c r="B27" t="s">
        <v>351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f t="shared" si="0"/>
        <v>0</v>
      </c>
      <c r="AF27">
        <f t="shared" si="1"/>
        <v>28</v>
      </c>
    </row>
    <row r="28" spans="2:32" x14ac:dyDescent="0.25">
      <c r="B28" t="s">
        <v>133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f t="shared" si="0"/>
        <v>0</v>
      </c>
      <c r="AF28">
        <f t="shared" si="1"/>
        <v>28</v>
      </c>
    </row>
    <row r="29" spans="2:32" x14ac:dyDescent="0.25">
      <c r="B29" t="s">
        <v>141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f t="shared" si="0"/>
        <v>0</v>
      </c>
      <c r="AF29">
        <f t="shared" si="1"/>
        <v>28</v>
      </c>
    </row>
    <row r="30" spans="2:32" x14ac:dyDescent="0.25">
      <c r="B30" t="s">
        <v>353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f t="shared" si="0"/>
        <v>0</v>
      </c>
      <c r="AF30">
        <f t="shared" si="1"/>
        <v>28</v>
      </c>
    </row>
    <row r="31" spans="2:32" x14ac:dyDescent="0.25">
      <c r="B31" t="s">
        <v>151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f t="shared" si="0"/>
        <v>0</v>
      </c>
      <c r="AF31">
        <f t="shared" si="1"/>
        <v>28</v>
      </c>
    </row>
    <row r="32" spans="2:32" x14ac:dyDescent="0.25">
      <c r="B32" t="s">
        <v>152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f t="shared" si="0"/>
        <v>0</v>
      </c>
      <c r="AF32">
        <f t="shared" si="1"/>
        <v>28</v>
      </c>
    </row>
    <row r="33" spans="2:32" x14ac:dyDescent="0.25">
      <c r="B33" t="s">
        <v>356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f t="shared" si="0"/>
        <v>0</v>
      </c>
      <c r="AF33">
        <f t="shared" si="1"/>
        <v>28</v>
      </c>
    </row>
    <row r="34" spans="2:32" x14ac:dyDescent="0.25">
      <c r="B34" t="s">
        <v>190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f t="shared" si="0"/>
        <v>0</v>
      </c>
      <c r="AF34">
        <f t="shared" si="1"/>
        <v>28</v>
      </c>
    </row>
    <row r="35" spans="2:32" x14ac:dyDescent="0.25">
      <c r="B35" t="s">
        <v>205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f t="shared" si="0"/>
        <v>0</v>
      </c>
      <c r="AF35">
        <f t="shared" si="1"/>
        <v>28</v>
      </c>
    </row>
    <row r="36" spans="2:32" x14ac:dyDescent="0.25">
      <c r="B36" t="s">
        <v>210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f t="shared" si="0"/>
        <v>0</v>
      </c>
      <c r="AF36">
        <f t="shared" si="1"/>
        <v>28</v>
      </c>
    </row>
    <row r="37" spans="2:32" x14ac:dyDescent="0.25">
      <c r="B37" t="s">
        <v>211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f t="shared" si="0"/>
        <v>0</v>
      </c>
      <c r="AF37">
        <f t="shared" si="1"/>
        <v>28</v>
      </c>
    </row>
    <row r="38" spans="2:32" x14ac:dyDescent="0.25">
      <c r="B38" t="s">
        <v>214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f t="shared" si="0"/>
        <v>0</v>
      </c>
      <c r="AF38">
        <f t="shared" si="1"/>
        <v>28</v>
      </c>
    </row>
    <row r="39" spans="2:32" x14ac:dyDescent="0.25">
      <c r="B39" t="s">
        <v>216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f t="shared" si="0"/>
        <v>0</v>
      </c>
      <c r="AF39">
        <f t="shared" si="1"/>
        <v>28</v>
      </c>
    </row>
    <row r="40" spans="2:32" x14ac:dyDescent="0.25">
      <c r="B40" t="s">
        <v>357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f t="shared" si="0"/>
        <v>0</v>
      </c>
      <c r="AF40">
        <f t="shared" si="1"/>
        <v>28</v>
      </c>
    </row>
    <row r="41" spans="2:32" x14ac:dyDescent="0.25">
      <c r="B41" t="s">
        <v>219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f t="shared" si="0"/>
        <v>0</v>
      </c>
      <c r="AF41">
        <f t="shared" si="1"/>
        <v>28</v>
      </c>
    </row>
  </sheetData>
  <autoFilter ref="B2:AF2" xr:uid="{8B460FBD-7409-4E6D-8E02-BE0F9F267AA5}">
    <sortState xmlns:xlrd2="http://schemas.microsoft.com/office/spreadsheetml/2017/richdata2" ref="B3:AF41">
      <sortCondition ref="AF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2A0F-C969-4525-B9A0-F79144201E53}">
  <dimension ref="B2:AH41"/>
  <sheetViews>
    <sheetView topLeftCell="B1" workbookViewId="0">
      <selection activeCell="B10" sqref="B3:B10"/>
    </sheetView>
  </sheetViews>
  <sheetFormatPr defaultRowHeight="15" x14ac:dyDescent="0.25"/>
  <cols>
    <col min="2" max="2" width="59.7109375" bestFit="1" customWidth="1"/>
    <col min="3" max="32" width="24.28515625" bestFit="1" customWidth="1"/>
    <col min="33" max="33" width="21.140625" bestFit="1" customWidth="1"/>
    <col min="34" max="34" width="23.42578125" bestFit="1" customWidth="1"/>
  </cols>
  <sheetData>
    <row r="2" spans="2:34" x14ac:dyDescent="0.25">
      <c r="B2" t="s">
        <v>225</v>
      </c>
      <c r="C2" t="s">
        <v>281</v>
      </c>
      <c r="D2" t="s">
        <v>282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J2" t="s">
        <v>288</v>
      </c>
      <c r="K2" t="s">
        <v>289</v>
      </c>
      <c r="L2" t="s">
        <v>290</v>
      </c>
      <c r="M2" t="s">
        <v>291</v>
      </c>
      <c r="N2" t="s">
        <v>292</v>
      </c>
      <c r="O2" t="s">
        <v>293</v>
      </c>
      <c r="P2" t="s">
        <v>294</v>
      </c>
      <c r="Q2" t="s">
        <v>295</v>
      </c>
      <c r="R2" t="s">
        <v>296</v>
      </c>
      <c r="S2" t="s">
        <v>297</v>
      </c>
      <c r="T2" t="s">
        <v>298</v>
      </c>
      <c r="U2" t="s">
        <v>299</v>
      </c>
      <c r="V2" t="s">
        <v>300</v>
      </c>
      <c r="W2" t="s">
        <v>301</v>
      </c>
      <c r="X2" t="s">
        <v>302</v>
      </c>
      <c r="Y2" t="s">
        <v>303</v>
      </c>
      <c r="Z2" t="s">
        <v>304</v>
      </c>
      <c r="AA2" t="s">
        <v>305</v>
      </c>
      <c r="AB2" t="s">
        <v>306</v>
      </c>
      <c r="AC2" t="s">
        <v>307</v>
      </c>
      <c r="AD2" t="s">
        <v>308</v>
      </c>
      <c r="AE2" t="s">
        <v>309</v>
      </c>
      <c r="AF2" t="s">
        <v>310</v>
      </c>
      <c r="AG2" t="s">
        <v>224</v>
      </c>
      <c r="AH2" t="s">
        <v>226</v>
      </c>
    </row>
    <row r="3" spans="2:34" x14ac:dyDescent="0.25">
      <c r="B3" s="1" t="s">
        <v>344</v>
      </c>
      <c r="C3">
        <v>13</v>
      </c>
      <c r="D3">
        <v>17</v>
      </c>
      <c r="E3">
        <v>32</v>
      </c>
      <c r="F3">
        <v>48</v>
      </c>
      <c r="G3">
        <v>48</v>
      </c>
      <c r="H3">
        <v>47</v>
      </c>
      <c r="I3">
        <v>47</v>
      </c>
      <c r="J3">
        <v>47</v>
      </c>
      <c r="K3">
        <v>47</v>
      </c>
      <c r="L3">
        <v>48</v>
      </c>
      <c r="M3">
        <v>45</v>
      </c>
      <c r="N3">
        <v>47</v>
      </c>
      <c r="O3">
        <v>49</v>
      </c>
      <c r="P3">
        <v>47</v>
      </c>
      <c r="Q3">
        <v>47</v>
      </c>
      <c r="R3">
        <v>48</v>
      </c>
      <c r="S3">
        <v>51</v>
      </c>
      <c r="T3">
        <v>49</v>
      </c>
      <c r="U3">
        <v>48</v>
      </c>
      <c r="V3">
        <v>47</v>
      </c>
      <c r="W3">
        <v>15</v>
      </c>
      <c r="X3">
        <v>46</v>
      </c>
      <c r="Y3">
        <v>47</v>
      </c>
      <c r="Z3">
        <v>48</v>
      </c>
      <c r="AA3">
        <v>48</v>
      </c>
      <c r="AB3">
        <v>48</v>
      </c>
      <c r="AC3">
        <v>48</v>
      </c>
      <c r="AD3">
        <v>48</v>
      </c>
      <c r="AE3">
        <v>48</v>
      </c>
      <c r="AF3">
        <v>46</v>
      </c>
      <c r="AG3">
        <f t="shared" ref="AG3:AG41" si="0">AVERAGE(C3:AF3)</f>
        <v>43.8</v>
      </c>
      <c r="AH3">
        <f t="shared" ref="AH3:AH41" si="1">COUNTIF(C3:AF3,"0")</f>
        <v>0</v>
      </c>
    </row>
    <row r="4" spans="2:34" x14ac:dyDescent="0.25">
      <c r="B4" s="1" t="s">
        <v>347</v>
      </c>
      <c r="C4">
        <v>9</v>
      </c>
      <c r="D4">
        <v>6</v>
      </c>
      <c r="E4">
        <v>11</v>
      </c>
      <c r="F4">
        <v>10</v>
      </c>
      <c r="G4">
        <v>17</v>
      </c>
      <c r="H4">
        <v>9</v>
      </c>
      <c r="I4">
        <v>9</v>
      </c>
      <c r="J4">
        <v>4</v>
      </c>
      <c r="K4">
        <v>10</v>
      </c>
      <c r="L4">
        <v>12</v>
      </c>
      <c r="M4">
        <v>1</v>
      </c>
      <c r="N4">
        <v>10</v>
      </c>
      <c r="O4">
        <v>8</v>
      </c>
      <c r="P4">
        <v>19</v>
      </c>
      <c r="Q4">
        <v>4</v>
      </c>
      <c r="R4">
        <v>9</v>
      </c>
      <c r="S4">
        <v>10</v>
      </c>
      <c r="T4">
        <v>3</v>
      </c>
      <c r="U4">
        <v>6</v>
      </c>
      <c r="V4">
        <v>11</v>
      </c>
      <c r="W4">
        <v>38</v>
      </c>
      <c r="X4">
        <v>12</v>
      </c>
      <c r="Y4">
        <v>4</v>
      </c>
      <c r="Z4">
        <v>4</v>
      </c>
      <c r="AA4">
        <v>26</v>
      </c>
      <c r="AB4">
        <v>6</v>
      </c>
      <c r="AC4">
        <v>8</v>
      </c>
      <c r="AD4">
        <v>7</v>
      </c>
      <c r="AE4">
        <v>9</v>
      </c>
      <c r="AF4">
        <v>5</v>
      </c>
      <c r="AG4">
        <f t="shared" si="0"/>
        <v>9.9</v>
      </c>
      <c r="AH4">
        <f t="shared" si="1"/>
        <v>0</v>
      </c>
    </row>
    <row r="5" spans="2:34" x14ac:dyDescent="0.25">
      <c r="B5" s="1" t="s">
        <v>352</v>
      </c>
      <c r="C5">
        <v>6659</v>
      </c>
      <c r="D5">
        <v>4713</v>
      </c>
      <c r="E5">
        <v>6575</v>
      </c>
      <c r="F5">
        <v>6655</v>
      </c>
      <c r="G5">
        <v>6670</v>
      </c>
      <c r="H5">
        <v>6649</v>
      </c>
      <c r="I5">
        <v>5564</v>
      </c>
      <c r="J5">
        <v>6652</v>
      </c>
      <c r="K5">
        <v>6659</v>
      </c>
      <c r="L5">
        <v>6656</v>
      </c>
      <c r="M5">
        <v>4451</v>
      </c>
      <c r="N5">
        <v>6656</v>
      </c>
      <c r="O5">
        <v>6224</v>
      </c>
      <c r="P5">
        <v>4975</v>
      </c>
      <c r="Q5">
        <v>6650</v>
      </c>
      <c r="R5">
        <v>6659</v>
      </c>
      <c r="S5">
        <v>4345</v>
      </c>
      <c r="T5">
        <v>6657</v>
      </c>
      <c r="U5">
        <v>6653</v>
      </c>
      <c r="V5">
        <v>6656</v>
      </c>
      <c r="W5">
        <v>3981</v>
      </c>
      <c r="X5">
        <v>3405</v>
      </c>
      <c r="Y5">
        <v>3925</v>
      </c>
      <c r="Z5">
        <v>6657</v>
      </c>
      <c r="AA5">
        <v>6656</v>
      </c>
      <c r="AB5">
        <v>6657</v>
      </c>
      <c r="AC5">
        <v>6656</v>
      </c>
      <c r="AD5">
        <v>6656</v>
      </c>
      <c r="AE5">
        <v>6660</v>
      </c>
      <c r="AF5">
        <v>6660</v>
      </c>
      <c r="AG5">
        <f t="shared" si="0"/>
        <v>6043.0333333333338</v>
      </c>
      <c r="AH5">
        <f t="shared" si="1"/>
        <v>0</v>
      </c>
    </row>
    <row r="6" spans="2:34" x14ac:dyDescent="0.25">
      <c r="B6" s="1" t="s">
        <v>354</v>
      </c>
      <c r="C6">
        <v>24</v>
      </c>
      <c r="D6">
        <v>16</v>
      </c>
      <c r="E6">
        <v>38</v>
      </c>
      <c r="F6">
        <v>32</v>
      </c>
      <c r="G6">
        <v>11</v>
      </c>
      <c r="H6">
        <v>3</v>
      </c>
      <c r="I6">
        <v>115</v>
      </c>
      <c r="J6">
        <v>975</v>
      </c>
      <c r="K6">
        <v>1052</v>
      </c>
      <c r="L6">
        <v>1359</v>
      </c>
      <c r="M6">
        <v>1451</v>
      </c>
      <c r="N6">
        <v>228</v>
      </c>
      <c r="O6">
        <v>66</v>
      </c>
      <c r="P6">
        <v>2068</v>
      </c>
      <c r="Q6">
        <v>1700</v>
      </c>
      <c r="R6">
        <v>1362</v>
      </c>
      <c r="S6">
        <v>1400</v>
      </c>
      <c r="T6">
        <v>43</v>
      </c>
      <c r="U6">
        <v>150</v>
      </c>
      <c r="V6">
        <v>33</v>
      </c>
      <c r="W6">
        <v>1335</v>
      </c>
      <c r="X6">
        <v>1391</v>
      </c>
      <c r="Y6">
        <v>1578</v>
      </c>
      <c r="Z6">
        <v>1870</v>
      </c>
      <c r="AA6">
        <v>1479</v>
      </c>
      <c r="AB6">
        <v>275</v>
      </c>
      <c r="AC6">
        <v>78</v>
      </c>
      <c r="AD6">
        <v>2611</v>
      </c>
      <c r="AE6">
        <v>2090</v>
      </c>
      <c r="AF6">
        <v>1780</v>
      </c>
      <c r="AG6">
        <f t="shared" si="0"/>
        <v>887.1</v>
      </c>
      <c r="AH6">
        <f t="shared" si="1"/>
        <v>0</v>
      </c>
    </row>
    <row r="7" spans="2:34" x14ac:dyDescent="0.25">
      <c r="B7" s="1" t="s">
        <v>158</v>
      </c>
      <c r="C7">
        <v>14922</v>
      </c>
      <c r="D7">
        <v>20047</v>
      </c>
      <c r="E7">
        <v>18385</v>
      </c>
      <c r="F7">
        <v>20194</v>
      </c>
      <c r="G7">
        <v>19074</v>
      </c>
      <c r="H7">
        <v>21508</v>
      </c>
      <c r="I7">
        <v>15831</v>
      </c>
      <c r="J7">
        <v>23765</v>
      </c>
      <c r="K7">
        <v>33988</v>
      </c>
      <c r="L7">
        <v>23715</v>
      </c>
      <c r="M7">
        <v>29123</v>
      </c>
      <c r="N7">
        <v>14031</v>
      </c>
      <c r="O7">
        <v>12895</v>
      </c>
      <c r="P7">
        <v>16638</v>
      </c>
      <c r="Q7">
        <v>14228</v>
      </c>
      <c r="R7">
        <v>15464</v>
      </c>
      <c r="S7">
        <v>14457</v>
      </c>
      <c r="T7">
        <v>14659</v>
      </c>
      <c r="U7">
        <v>13781</v>
      </c>
      <c r="V7">
        <v>13825</v>
      </c>
      <c r="W7">
        <v>13696</v>
      </c>
      <c r="X7">
        <v>14791</v>
      </c>
      <c r="Y7">
        <v>11930</v>
      </c>
      <c r="Z7">
        <v>12742</v>
      </c>
      <c r="AA7">
        <v>12108</v>
      </c>
      <c r="AB7">
        <v>10193</v>
      </c>
      <c r="AC7">
        <v>9116</v>
      </c>
      <c r="AD7">
        <v>15436</v>
      </c>
      <c r="AE7">
        <v>9226</v>
      </c>
      <c r="AF7">
        <v>10660</v>
      </c>
      <c r="AG7">
        <f t="shared" si="0"/>
        <v>16347.6</v>
      </c>
      <c r="AH7">
        <f t="shared" si="1"/>
        <v>0</v>
      </c>
    </row>
    <row r="8" spans="2:34" x14ac:dyDescent="0.25">
      <c r="B8" s="1" t="s">
        <v>222</v>
      </c>
      <c r="C8">
        <v>18031</v>
      </c>
      <c r="D8">
        <v>19779</v>
      </c>
      <c r="E8">
        <v>22746</v>
      </c>
      <c r="F8">
        <v>23016</v>
      </c>
      <c r="G8">
        <v>17907</v>
      </c>
      <c r="H8">
        <v>16093</v>
      </c>
      <c r="I8">
        <v>19500</v>
      </c>
      <c r="J8">
        <v>25513</v>
      </c>
      <c r="K8">
        <v>23623</v>
      </c>
      <c r="L8">
        <v>22015</v>
      </c>
      <c r="M8">
        <v>22999</v>
      </c>
      <c r="N8">
        <v>19730</v>
      </c>
      <c r="O8">
        <v>20227</v>
      </c>
      <c r="P8">
        <v>29207</v>
      </c>
      <c r="Q8">
        <v>24754</v>
      </c>
      <c r="R8">
        <v>22125</v>
      </c>
      <c r="S8">
        <v>21988</v>
      </c>
      <c r="T8">
        <v>15122</v>
      </c>
      <c r="U8">
        <v>14185</v>
      </c>
      <c r="V8">
        <v>14197</v>
      </c>
      <c r="W8">
        <v>17593</v>
      </c>
      <c r="X8">
        <v>17927</v>
      </c>
      <c r="Y8">
        <v>15476</v>
      </c>
      <c r="Z8">
        <v>17354</v>
      </c>
      <c r="AA8">
        <v>14848</v>
      </c>
      <c r="AB8">
        <v>11531</v>
      </c>
      <c r="AC8">
        <v>10779</v>
      </c>
      <c r="AD8">
        <v>13984</v>
      </c>
      <c r="AE8">
        <v>13930</v>
      </c>
      <c r="AF8">
        <v>14237</v>
      </c>
      <c r="AG8">
        <f t="shared" si="0"/>
        <v>18680.533333333333</v>
      </c>
      <c r="AH8">
        <f t="shared" si="1"/>
        <v>0</v>
      </c>
    </row>
    <row r="9" spans="2:34" x14ac:dyDescent="0.25">
      <c r="B9" s="1" t="s">
        <v>348</v>
      </c>
      <c r="C9">
        <v>8</v>
      </c>
      <c r="D9">
        <v>6</v>
      </c>
      <c r="E9">
        <v>14</v>
      </c>
      <c r="F9">
        <v>10</v>
      </c>
      <c r="G9">
        <v>3</v>
      </c>
      <c r="H9">
        <v>4</v>
      </c>
      <c r="I9">
        <v>7</v>
      </c>
      <c r="J9">
        <v>6</v>
      </c>
      <c r="K9">
        <v>3</v>
      </c>
      <c r="L9">
        <v>0</v>
      </c>
      <c r="M9">
        <v>6</v>
      </c>
      <c r="N9">
        <v>5</v>
      </c>
      <c r="O9">
        <v>7</v>
      </c>
      <c r="P9">
        <v>12</v>
      </c>
      <c r="Q9">
        <v>21</v>
      </c>
      <c r="R9">
        <v>27</v>
      </c>
      <c r="S9">
        <v>5</v>
      </c>
      <c r="T9">
        <v>24</v>
      </c>
      <c r="U9">
        <v>9</v>
      </c>
      <c r="V9">
        <v>14</v>
      </c>
      <c r="W9">
        <v>24</v>
      </c>
      <c r="X9">
        <v>10</v>
      </c>
      <c r="Y9">
        <v>10</v>
      </c>
      <c r="Z9">
        <v>6</v>
      </c>
      <c r="AA9">
        <v>12</v>
      </c>
      <c r="AB9">
        <v>10</v>
      </c>
      <c r="AC9">
        <v>6</v>
      </c>
      <c r="AD9">
        <v>13</v>
      </c>
      <c r="AE9">
        <v>15</v>
      </c>
      <c r="AF9">
        <v>18</v>
      </c>
      <c r="AG9">
        <f t="shared" si="0"/>
        <v>10.5</v>
      </c>
      <c r="AH9">
        <f t="shared" si="1"/>
        <v>1</v>
      </c>
    </row>
    <row r="10" spans="2:34" x14ac:dyDescent="0.25">
      <c r="B10" s="1" t="s">
        <v>50</v>
      </c>
      <c r="C10">
        <v>20</v>
      </c>
      <c r="D10">
        <v>20</v>
      </c>
      <c r="E10">
        <v>26</v>
      </c>
      <c r="F10">
        <v>39</v>
      </c>
      <c r="G10">
        <v>4</v>
      </c>
      <c r="H10">
        <v>17</v>
      </c>
      <c r="I10">
        <v>10</v>
      </c>
      <c r="J10">
        <v>12</v>
      </c>
      <c r="K10">
        <v>15</v>
      </c>
      <c r="L10">
        <v>22</v>
      </c>
      <c r="M10">
        <v>0</v>
      </c>
      <c r="N10">
        <v>17</v>
      </c>
      <c r="O10">
        <v>26</v>
      </c>
      <c r="P10">
        <v>57</v>
      </c>
      <c r="Q10">
        <v>0</v>
      </c>
      <c r="R10">
        <v>14</v>
      </c>
      <c r="S10">
        <v>25</v>
      </c>
      <c r="T10">
        <v>9</v>
      </c>
      <c r="U10">
        <v>8</v>
      </c>
      <c r="V10">
        <v>20</v>
      </c>
      <c r="W10">
        <v>4</v>
      </c>
      <c r="X10">
        <v>10</v>
      </c>
      <c r="Y10">
        <v>33</v>
      </c>
      <c r="Z10">
        <v>19</v>
      </c>
      <c r="AA10">
        <v>114</v>
      </c>
      <c r="AB10">
        <v>31</v>
      </c>
      <c r="AC10">
        <v>25</v>
      </c>
      <c r="AD10">
        <v>19</v>
      </c>
      <c r="AE10">
        <v>22</v>
      </c>
      <c r="AF10">
        <v>48</v>
      </c>
      <c r="AG10">
        <f t="shared" si="0"/>
        <v>22.866666666666667</v>
      </c>
      <c r="AH10">
        <f t="shared" si="1"/>
        <v>2</v>
      </c>
    </row>
    <row r="11" spans="2:34" x14ac:dyDescent="0.25">
      <c r="B11" t="s">
        <v>350</v>
      </c>
      <c r="C11">
        <v>1</v>
      </c>
      <c r="D11">
        <v>3</v>
      </c>
      <c r="E11">
        <v>1</v>
      </c>
      <c r="F11">
        <v>2</v>
      </c>
      <c r="G11">
        <v>0</v>
      </c>
      <c r="H11">
        <v>0</v>
      </c>
      <c r="I11">
        <v>5</v>
      </c>
      <c r="J11">
        <v>1</v>
      </c>
      <c r="K11">
        <v>29</v>
      </c>
      <c r="L11">
        <v>18</v>
      </c>
      <c r="M11">
        <v>0</v>
      </c>
      <c r="N11">
        <v>3</v>
      </c>
      <c r="O11">
        <v>0</v>
      </c>
      <c r="P11">
        <v>1</v>
      </c>
      <c r="Q11">
        <v>159</v>
      </c>
      <c r="R11">
        <v>0</v>
      </c>
      <c r="S11">
        <v>150</v>
      </c>
      <c r="T11">
        <v>1</v>
      </c>
      <c r="U11">
        <v>3</v>
      </c>
      <c r="V11">
        <v>1</v>
      </c>
      <c r="W11">
        <v>1</v>
      </c>
      <c r="X11">
        <v>1</v>
      </c>
      <c r="Y11">
        <v>2</v>
      </c>
      <c r="Z11">
        <v>1</v>
      </c>
      <c r="AA11">
        <v>2</v>
      </c>
      <c r="AB11">
        <v>0</v>
      </c>
      <c r="AC11">
        <v>8</v>
      </c>
      <c r="AD11">
        <v>82</v>
      </c>
      <c r="AE11">
        <v>0</v>
      </c>
      <c r="AF11">
        <v>1</v>
      </c>
      <c r="AG11">
        <f t="shared" si="0"/>
        <v>15.866666666666667</v>
      </c>
      <c r="AH11">
        <f t="shared" si="1"/>
        <v>7</v>
      </c>
    </row>
    <row r="12" spans="2:34" x14ac:dyDescent="0.25">
      <c r="B12" t="s">
        <v>73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4</v>
      </c>
      <c r="M12">
        <v>3</v>
      </c>
      <c r="N12">
        <v>1</v>
      </c>
      <c r="O12">
        <v>2</v>
      </c>
      <c r="P12">
        <v>2</v>
      </c>
      <c r="Q12">
        <v>1</v>
      </c>
      <c r="R12">
        <v>6</v>
      </c>
      <c r="S12">
        <v>2</v>
      </c>
      <c r="T12">
        <v>0</v>
      </c>
      <c r="U12">
        <v>0</v>
      </c>
      <c r="V12">
        <v>3</v>
      </c>
      <c r="W12">
        <v>1</v>
      </c>
      <c r="X12">
        <v>0</v>
      </c>
      <c r="Y12">
        <v>1</v>
      </c>
      <c r="Z12">
        <v>1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f t="shared" si="0"/>
        <v>1.2666666666666666</v>
      </c>
      <c r="AH12">
        <f t="shared" si="1"/>
        <v>14</v>
      </c>
    </row>
    <row r="13" spans="2:34" x14ac:dyDescent="0.25">
      <c r="B13" t="s">
        <v>355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6</v>
      </c>
      <c r="L13">
        <v>29</v>
      </c>
      <c r="M13">
        <v>4</v>
      </c>
      <c r="N13">
        <v>0</v>
      </c>
      <c r="O13">
        <v>0</v>
      </c>
      <c r="P13">
        <v>26</v>
      </c>
      <c r="Q13">
        <v>70</v>
      </c>
      <c r="R13">
        <v>192</v>
      </c>
      <c r="S13">
        <v>166</v>
      </c>
      <c r="T13">
        <v>0</v>
      </c>
      <c r="U13">
        <v>0</v>
      </c>
      <c r="V13">
        <v>0</v>
      </c>
      <c r="W13">
        <v>9</v>
      </c>
      <c r="X13">
        <v>7</v>
      </c>
      <c r="Y13">
        <v>12</v>
      </c>
      <c r="Z13">
        <v>4</v>
      </c>
      <c r="AA13">
        <v>10</v>
      </c>
      <c r="AB13">
        <v>0</v>
      </c>
      <c r="AC13">
        <v>0</v>
      </c>
      <c r="AD13">
        <v>6</v>
      </c>
      <c r="AE13">
        <v>8</v>
      </c>
      <c r="AF13">
        <v>4</v>
      </c>
      <c r="AG13">
        <f t="shared" si="0"/>
        <v>18.566666666666666</v>
      </c>
      <c r="AH13">
        <f t="shared" si="1"/>
        <v>14</v>
      </c>
    </row>
    <row r="14" spans="2:34" x14ac:dyDescent="0.25">
      <c r="B14" t="s">
        <v>151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f t="shared" si="0"/>
        <v>2.6666666666666665</v>
      </c>
      <c r="AH14">
        <f t="shared" si="1"/>
        <v>14</v>
      </c>
    </row>
    <row r="15" spans="2:34" x14ac:dyDescent="0.25">
      <c r="B15" t="s">
        <v>161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2</v>
      </c>
      <c r="K15">
        <v>1</v>
      </c>
      <c r="L15">
        <v>2</v>
      </c>
      <c r="M15">
        <v>1</v>
      </c>
      <c r="N15">
        <v>0</v>
      </c>
      <c r="O15">
        <v>0</v>
      </c>
      <c r="P15">
        <v>1</v>
      </c>
      <c r="Q15">
        <v>2</v>
      </c>
      <c r="R15">
        <v>0</v>
      </c>
      <c r="S15">
        <v>1</v>
      </c>
      <c r="T15">
        <v>0</v>
      </c>
      <c r="U15">
        <v>0</v>
      </c>
      <c r="V15">
        <v>1</v>
      </c>
      <c r="W15">
        <v>2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0"/>
        <v>0.53333333333333333</v>
      </c>
      <c r="AH15">
        <f t="shared" si="1"/>
        <v>19</v>
      </c>
    </row>
    <row r="16" spans="2:34" x14ac:dyDescent="0.25">
      <c r="B16" t="s">
        <v>345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 t="shared" si="0"/>
        <v>0.36666666666666664</v>
      </c>
      <c r="AH16">
        <f t="shared" si="1"/>
        <v>23</v>
      </c>
    </row>
    <row r="17" spans="2:34" x14ac:dyDescent="0.25">
      <c r="B17" t="s">
        <v>210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24</v>
      </c>
      <c r="AB17">
        <v>72</v>
      </c>
      <c r="AC17">
        <v>61</v>
      </c>
      <c r="AD17">
        <v>72</v>
      </c>
      <c r="AE17">
        <v>87</v>
      </c>
      <c r="AF17">
        <v>91</v>
      </c>
      <c r="AG17">
        <f t="shared" si="0"/>
        <v>13.666666666666666</v>
      </c>
      <c r="AH17">
        <f t="shared" si="1"/>
        <v>23</v>
      </c>
    </row>
    <row r="18" spans="2:34" x14ac:dyDescent="0.25">
      <c r="B18" t="s">
        <v>155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54</v>
      </c>
      <c r="Q18">
        <v>0</v>
      </c>
      <c r="R18">
        <v>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89</v>
      </c>
      <c r="AB18">
        <v>0</v>
      </c>
      <c r="AC18">
        <v>0</v>
      </c>
      <c r="AD18">
        <v>263</v>
      </c>
      <c r="AE18">
        <v>14</v>
      </c>
      <c r="AF18">
        <v>6</v>
      </c>
      <c r="AG18">
        <f t="shared" si="0"/>
        <v>14.5</v>
      </c>
      <c r="AH18">
        <f t="shared" si="1"/>
        <v>24</v>
      </c>
    </row>
    <row r="19" spans="2:34" x14ac:dyDescent="0.25">
      <c r="B19" t="s">
        <v>146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16</v>
      </c>
      <c r="T19">
        <v>0</v>
      </c>
      <c r="U19">
        <v>0</v>
      </c>
      <c r="V19">
        <v>6</v>
      </c>
      <c r="W19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 t="shared" si="0"/>
        <v>1.4</v>
      </c>
      <c r="AH19">
        <f t="shared" si="1"/>
        <v>26</v>
      </c>
    </row>
    <row r="20" spans="2:34" x14ac:dyDescent="0.25">
      <c r="B20" t="s">
        <v>220</v>
      </c>
      <c r="C20">
        <v>3</v>
      </c>
      <c r="D20">
        <v>5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 t="shared" si="0"/>
        <v>0.46666666666666667</v>
      </c>
      <c r="AH20">
        <f t="shared" si="1"/>
        <v>26</v>
      </c>
    </row>
    <row r="21" spans="2:34" x14ac:dyDescent="0.25">
      <c r="B21" t="s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f t="shared" si="0"/>
        <v>0.13333333333333333</v>
      </c>
      <c r="AH21">
        <f t="shared" si="1"/>
        <v>28</v>
      </c>
    </row>
    <row r="22" spans="2:34" x14ac:dyDescent="0.25">
      <c r="B22" t="s">
        <v>216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si="0"/>
        <v>6.6666666666666666E-2</v>
      </c>
      <c r="AH22">
        <f t="shared" si="1"/>
        <v>28</v>
      </c>
    </row>
    <row r="23" spans="2:34" x14ac:dyDescent="0.25">
      <c r="B23" t="s">
        <v>55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 t="shared" si="0"/>
        <v>0.1</v>
      </c>
      <c r="AH23">
        <f t="shared" si="1"/>
        <v>29</v>
      </c>
    </row>
    <row r="24" spans="2:34" x14ac:dyDescent="0.25">
      <c r="B24" t="s">
        <v>346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14</v>
      </c>
      <c r="AG24">
        <f t="shared" si="0"/>
        <v>0.46666666666666667</v>
      </c>
      <c r="AH24">
        <f t="shared" si="1"/>
        <v>29</v>
      </c>
    </row>
    <row r="25" spans="2:34" x14ac:dyDescent="0.25">
      <c r="B25" t="s">
        <v>175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</v>
      </c>
      <c r="AF25">
        <v>0</v>
      </c>
      <c r="AG25">
        <f t="shared" si="0"/>
        <v>0.2</v>
      </c>
      <c r="AH25">
        <f t="shared" si="1"/>
        <v>29</v>
      </c>
    </row>
    <row r="26" spans="2:34" x14ac:dyDescent="0.25">
      <c r="B26" t="s">
        <v>211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</v>
      </c>
      <c r="AE26">
        <v>0</v>
      </c>
      <c r="AF26">
        <v>0</v>
      </c>
      <c r="AG26">
        <f t="shared" si="0"/>
        <v>0.46666666666666667</v>
      </c>
      <c r="AH26">
        <f t="shared" si="1"/>
        <v>29</v>
      </c>
    </row>
    <row r="27" spans="2:34" x14ac:dyDescent="0.25">
      <c r="B27" t="s">
        <v>219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f t="shared" si="0"/>
        <v>1.1000000000000001</v>
      </c>
      <c r="AH27">
        <f t="shared" si="1"/>
        <v>29</v>
      </c>
    </row>
    <row r="28" spans="2:34" x14ac:dyDescent="0.25">
      <c r="B28" t="s">
        <v>343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 t="shared" si="0"/>
        <v>0</v>
      </c>
      <c r="AH28">
        <f t="shared" si="1"/>
        <v>30</v>
      </c>
    </row>
    <row r="29" spans="2:34" x14ac:dyDescent="0.25">
      <c r="B29" t="s">
        <v>32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f t="shared" si="0"/>
        <v>0</v>
      </c>
      <c r="AH29">
        <f t="shared" si="1"/>
        <v>30</v>
      </c>
    </row>
    <row r="30" spans="2:34" x14ac:dyDescent="0.25">
      <c r="B30" t="s">
        <v>349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f t="shared" si="0"/>
        <v>0</v>
      </c>
      <c r="AH30">
        <f t="shared" si="1"/>
        <v>30</v>
      </c>
    </row>
    <row r="31" spans="2:34" x14ac:dyDescent="0.25">
      <c r="B31" t="s">
        <v>351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f t="shared" si="0"/>
        <v>0</v>
      </c>
      <c r="AH31">
        <f t="shared" si="1"/>
        <v>30</v>
      </c>
    </row>
    <row r="32" spans="2:34" x14ac:dyDescent="0.25">
      <c r="B32" t="s">
        <v>133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f t="shared" si="0"/>
        <v>0</v>
      </c>
      <c r="AH32">
        <f t="shared" si="1"/>
        <v>30</v>
      </c>
    </row>
    <row r="33" spans="2:34" x14ac:dyDescent="0.25">
      <c r="B33" t="s">
        <v>141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f t="shared" si="0"/>
        <v>0</v>
      </c>
      <c r="AH33">
        <f t="shared" si="1"/>
        <v>30</v>
      </c>
    </row>
    <row r="34" spans="2:34" x14ac:dyDescent="0.25">
      <c r="B34" t="s">
        <v>353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f t="shared" si="0"/>
        <v>0</v>
      </c>
      <c r="AH34">
        <f t="shared" si="1"/>
        <v>30</v>
      </c>
    </row>
    <row r="35" spans="2:34" x14ac:dyDescent="0.25">
      <c r="B35" t="s">
        <v>152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f t="shared" si="0"/>
        <v>0</v>
      </c>
      <c r="AH35">
        <f t="shared" si="1"/>
        <v>30</v>
      </c>
    </row>
    <row r="36" spans="2:34" x14ac:dyDescent="0.25">
      <c r="B36" t="s">
        <v>157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f t="shared" si="0"/>
        <v>0</v>
      </c>
      <c r="AH36">
        <f t="shared" si="1"/>
        <v>30</v>
      </c>
    </row>
    <row r="37" spans="2:34" x14ac:dyDescent="0.25">
      <c r="B37" t="s">
        <v>356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f t="shared" si="0"/>
        <v>0</v>
      </c>
      <c r="AH37">
        <f t="shared" si="1"/>
        <v>30</v>
      </c>
    </row>
    <row r="38" spans="2:34" x14ac:dyDescent="0.25">
      <c r="B38" t="s">
        <v>190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f t="shared" si="0"/>
        <v>0</v>
      </c>
      <c r="AH38">
        <f t="shared" si="1"/>
        <v>30</v>
      </c>
    </row>
    <row r="39" spans="2:34" x14ac:dyDescent="0.25">
      <c r="B39" t="s">
        <v>205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f t="shared" si="0"/>
        <v>0</v>
      </c>
      <c r="AH39">
        <f t="shared" si="1"/>
        <v>30</v>
      </c>
    </row>
    <row r="40" spans="2:34" x14ac:dyDescent="0.25">
      <c r="B40" t="s">
        <v>214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f t="shared" si="0"/>
        <v>0</v>
      </c>
      <c r="AH40">
        <f t="shared" si="1"/>
        <v>30</v>
      </c>
    </row>
    <row r="41" spans="2:34" x14ac:dyDescent="0.25">
      <c r="B41" t="s">
        <v>357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f t="shared" si="0"/>
        <v>0</v>
      </c>
      <c r="AH41">
        <f t="shared" si="1"/>
        <v>30</v>
      </c>
    </row>
  </sheetData>
  <autoFilter ref="B2:AH2" xr:uid="{3AB62A0F-C969-4525-B9A0-F79144201E53}">
    <sortState xmlns:xlrd2="http://schemas.microsoft.com/office/spreadsheetml/2017/richdata2" ref="B3:AH41">
      <sortCondition ref="AH2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8D11-3ABD-42CF-AE8A-A394EB104383}">
  <dimension ref="B2:AI41"/>
  <sheetViews>
    <sheetView topLeftCell="B1" workbookViewId="0">
      <selection activeCell="B11" sqref="B3:B11"/>
    </sheetView>
  </sheetViews>
  <sheetFormatPr defaultRowHeight="15" x14ac:dyDescent="0.25"/>
  <cols>
    <col min="2" max="2" width="59.7109375" bestFit="1" customWidth="1"/>
    <col min="3" max="33" width="24.28515625" bestFit="1" customWidth="1"/>
    <col min="34" max="34" width="21.140625" bestFit="1" customWidth="1"/>
    <col min="35" max="35" width="23.42578125" bestFit="1" customWidth="1"/>
  </cols>
  <sheetData>
    <row r="2" spans="2:35" x14ac:dyDescent="0.25">
      <c r="B2" t="s">
        <v>225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  <c r="H2" t="s">
        <v>316</v>
      </c>
      <c r="I2" t="s">
        <v>317</v>
      </c>
      <c r="J2" t="s">
        <v>318</v>
      </c>
      <c r="K2" t="s">
        <v>319</v>
      </c>
      <c r="L2" t="s">
        <v>320</v>
      </c>
      <c r="M2" t="s">
        <v>321</v>
      </c>
      <c r="N2" t="s">
        <v>322</v>
      </c>
      <c r="O2" t="s">
        <v>323</v>
      </c>
      <c r="P2" t="s">
        <v>324</v>
      </c>
      <c r="Q2" t="s">
        <v>325</v>
      </c>
      <c r="R2" t="s">
        <v>326</v>
      </c>
      <c r="S2" t="s">
        <v>327</v>
      </c>
      <c r="T2" t="s">
        <v>328</v>
      </c>
      <c r="U2" t="s">
        <v>329</v>
      </c>
      <c r="V2" t="s">
        <v>330</v>
      </c>
      <c r="W2" t="s">
        <v>331</v>
      </c>
      <c r="X2" t="s">
        <v>332</v>
      </c>
      <c r="Y2" t="s">
        <v>333</v>
      </c>
      <c r="Z2" t="s">
        <v>334</v>
      </c>
      <c r="AA2" t="s">
        <v>335</v>
      </c>
      <c r="AB2" t="s">
        <v>336</v>
      </c>
      <c r="AC2" t="s">
        <v>337</v>
      </c>
      <c r="AD2" t="s">
        <v>338</v>
      </c>
      <c r="AE2" t="s">
        <v>339</v>
      </c>
      <c r="AF2" t="s">
        <v>340</v>
      </c>
      <c r="AG2" t="s">
        <v>341</v>
      </c>
      <c r="AH2" t="s">
        <v>224</v>
      </c>
      <c r="AI2" t="s">
        <v>226</v>
      </c>
    </row>
    <row r="3" spans="2:35" x14ac:dyDescent="0.25">
      <c r="B3" s="1" t="s">
        <v>344</v>
      </c>
      <c r="C3">
        <v>50</v>
      </c>
      <c r="D3">
        <v>50</v>
      </c>
      <c r="E3">
        <v>46</v>
      </c>
      <c r="F3">
        <v>50</v>
      </c>
      <c r="G3">
        <v>44</v>
      </c>
      <c r="H3">
        <v>48</v>
      </c>
      <c r="I3">
        <v>48</v>
      </c>
      <c r="J3">
        <v>48</v>
      </c>
      <c r="K3">
        <v>50</v>
      </c>
      <c r="L3">
        <v>44</v>
      </c>
      <c r="M3">
        <v>57</v>
      </c>
      <c r="N3">
        <v>49</v>
      </c>
      <c r="O3">
        <v>46</v>
      </c>
      <c r="P3">
        <v>48</v>
      </c>
      <c r="Q3">
        <v>46</v>
      </c>
      <c r="R3">
        <v>48</v>
      </c>
      <c r="S3">
        <v>50</v>
      </c>
      <c r="T3">
        <v>44</v>
      </c>
      <c r="U3">
        <v>40</v>
      </c>
      <c r="V3">
        <v>49</v>
      </c>
      <c r="W3">
        <v>48</v>
      </c>
      <c r="X3">
        <v>46</v>
      </c>
      <c r="Y3">
        <v>46</v>
      </c>
      <c r="Z3">
        <v>50</v>
      </c>
      <c r="AA3">
        <v>48</v>
      </c>
      <c r="AB3">
        <v>48</v>
      </c>
      <c r="AC3">
        <v>46</v>
      </c>
      <c r="AD3">
        <v>50</v>
      </c>
      <c r="AE3">
        <v>48</v>
      </c>
      <c r="AF3">
        <v>48</v>
      </c>
      <c r="AG3">
        <v>47</v>
      </c>
      <c r="AH3">
        <f t="shared" ref="AH3:AH41" si="0">AVERAGE(C3:AG3)</f>
        <v>47.741935483870968</v>
      </c>
      <c r="AI3">
        <f t="shared" ref="AI3:AI41" si="1">COUNTIF(C3:AG3,"0")</f>
        <v>0</v>
      </c>
    </row>
    <row r="4" spans="2:35" x14ac:dyDescent="0.25">
      <c r="B4" s="1" t="s">
        <v>347</v>
      </c>
      <c r="C4">
        <v>12</v>
      </c>
      <c r="D4">
        <v>7</v>
      </c>
      <c r="E4">
        <v>4</v>
      </c>
      <c r="F4">
        <v>17</v>
      </c>
      <c r="G4">
        <v>96</v>
      </c>
      <c r="H4">
        <v>83</v>
      </c>
      <c r="I4">
        <v>27</v>
      </c>
      <c r="J4">
        <v>19</v>
      </c>
      <c r="K4">
        <v>33</v>
      </c>
      <c r="L4">
        <v>18</v>
      </c>
      <c r="M4">
        <v>18</v>
      </c>
      <c r="N4">
        <v>10</v>
      </c>
      <c r="O4">
        <v>7</v>
      </c>
      <c r="P4">
        <v>16</v>
      </c>
      <c r="Q4">
        <v>16</v>
      </c>
      <c r="R4">
        <v>8</v>
      </c>
      <c r="S4">
        <v>7</v>
      </c>
      <c r="T4">
        <v>14</v>
      </c>
      <c r="U4">
        <v>16</v>
      </c>
      <c r="V4">
        <v>16</v>
      </c>
      <c r="W4">
        <v>14</v>
      </c>
      <c r="X4">
        <v>13</v>
      </c>
      <c r="Y4">
        <v>5</v>
      </c>
      <c r="Z4">
        <v>24</v>
      </c>
      <c r="AA4">
        <v>19</v>
      </c>
      <c r="AB4">
        <v>67</v>
      </c>
      <c r="AC4">
        <v>11</v>
      </c>
      <c r="AD4">
        <v>11</v>
      </c>
      <c r="AE4">
        <v>7</v>
      </c>
      <c r="AF4">
        <v>18</v>
      </c>
      <c r="AG4">
        <v>2</v>
      </c>
      <c r="AH4">
        <f t="shared" si="0"/>
        <v>20.483870967741936</v>
      </c>
      <c r="AI4">
        <f t="shared" si="1"/>
        <v>0</v>
      </c>
    </row>
    <row r="5" spans="2:35" x14ac:dyDescent="0.25">
      <c r="B5" s="1" t="s">
        <v>348</v>
      </c>
      <c r="C5">
        <v>11</v>
      </c>
      <c r="D5">
        <v>31</v>
      </c>
      <c r="E5">
        <v>12</v>
      </c>
      <c r="F5">
        <v>19</v>
      </c>
      <c r="G5">
        <v>32</v>
      </c>
      <c r="H5">
        <v>19</v>
      </c>
      <c r="I5">
        <v>23</v>
      </c>
      <c r="J5">
        <v>46</v>
      </c>
      <c r="K5">
        <v>6</v>
      </c>
      <c r="L5">
        <v>21</v>
      </c>
      <c r="M5">
        <v>10</v>
      </c>
      <c r="N5">
        <v>24</v>
      </c>
      <c r="O5">
        <v>21</v>
      </c>
      <c r="P5">
        <v>15</v>
      </c>
      <c r="Q5">
        <v>16</v>
      </c>
      <c r="R5">
        <v>12</v>
      </c>
      <c r="S5">
        <v>14</v>
      </c>
      <c r="T5">
        <v>9</v>
      </c>
      <c r="U5">
        <v>16</v>
      </c>
      <c r="V5">
        <v>25</v>
      </c>
      <c r="W5">
        <v>30</v>
      </c>
      <c r="X5">
        <v>19</v>
      </c>
      <c r="Y5">
        <v>23</v>
      </c>
      <c r="Z5">
        <v>6</v>
      </c>
      <c r="AA5">
        <v>13</v>
      </c>
      <c r="AB5">
        <v>29</v>
      </c>
      <c r="AC5">
        <v>11</v>
      </c>
      <c r="AD5">
        <v>14</v>
      </c>
      <c r="AE5">
        <v>33</v>
      </c>
      <c r="AF5">
        <v>9</v>
      </c>
      <c r="AG5">
        <v>13</v>
      </c>
      <c r="AH5">
        <f t="shared" si="0"/>
        <v>18.774193548387096</v>
      </c>
      <c r="AI5">
        <f t="shared" si="1"/>
        <v>0</v>
      </c>
    </row>
    <row r="6" spans="2:35" x14ac:dyDescent="0.25">
      <c r="B6" s="1" t="s">
        <v>352</v>
      </c>
      <c r="C6">
        <v>6654</v>
      </c>
      <c r="D6">
        <v>6665</v>
      </c>
      <c r="E6">
        <v>6656</v>
      </c>
      <c r="F6">
        <v>6657</v>
      </c>
      <c r="G6">
        <v>4995</v>
      </c>
      <c r="H6">
        <v>4437</v>
      </c>
      <c r="I6">
        <v>5384</v>
      </c>
      <c r="J6">
        <v>6660</v>
      </c>
      <c r="K6">
        <v>6657</v>
      </c>
      <c r="L6">
        <v>6656</v>
      </c>
      <c r="M6">
        <v>6933</v>
      </c>
      <c r="N6">
        <v>6840</v>
      </c>
      <c r="O6">
        <v>6762</v>
      </c>
      <c r="P6">
        <v>6658</v>
      </c>
      <c r="Q6">
        <v>6010</v>
      </c>
      <c r="R6">
        <v>6658</v>
      </c>
      <c r="S6">
        <v>6657</v>
      </c>
      <c r="T6">
        <v>6658</v>
      </c>
      <c r="U6">
        <v>6663</v>
      </c>
      <c r="V6">
        <v>6659</v>
      </c>
      <c r="W6">
        <v>6655</v>
      </c>
      <c r="X6">
        <v>6656</v>
      </c>
      <c r="Y6">
        <v>6656</v>
      </c>
      <c r="Z6">
        <v>6656</v>
      </c>
      <c r="AA6">
        <v>6656</v>
      </c>
      <c r="AB6">
        <v>6658</v>
      </c>
      <c r="AC6">
        <v>6637</v>
      </c>
      <c r="AD6">
        <v>6653</v>
      </c>
      <c r="AE6">
        <v>6658</v>
      </c>
      <c r="AF6">
        <v>6661</v>
      </c>
      <c r="AG6">
        <v>6736</v>
      </c>
      <c r="AH6">
        <f t="shared" si="0"/>
        <v>6490.3548387096771</v>
      </c>
      <c r="AI6">
        <f t="shared" si="1"/>
        <v>0</v>
      </c>
    </row>
    <row r="7" spans="2:35" x14ac:dyDescent="0.25">
      <c r="B7" s="1" t="s">
        <v>354</v>
      </c>
      <c r="C7">
        <v>148</v>
      </c>
      <c r="D7">
        <v>1209</v>
      </c>
      <c r="E7">
        <v>136</v>
      </c>
      <c r="F7">
        <v>88</v>
      </c>
      <c r="G7">
        <v>1824</v>
      </c>
      <c r="H7">
        <v>1581</v>
      </c>
      <c r="I7">
        <v>1686</v>
      </c>
      <c r="J7">
        <v>1843</v>
      </c>
      <c r="K7">
        <v>1994</v>
      </c>
      <c r="L7">
        <v>265</v>
      </c>
      <c r="M7">
        <v>30</v>
      </c>
      <c r="N7">
        <v>67</v>
      </c>
      <c r="O7">
        <v>531</v>
      </c>
      <c r="P7">
        <v>2215</v>
      </c>
      <c r="Q7">
        <v>2114</v>
      </c>
      <c r="R7">
        <v>1841</v>
      </c>
      <c r="S7">
        <v>428</v>
      </c>
      <c r="T7">
        <v>70</v>
      </c>
      <c r="U7">
        <v>1951</v>
      </c>
      <c r="V7">
        <v>2274</v>
      </c>
      <c r="W7">
        <v>2543</v>
      </c>
      <c r="X7">
        <v>1809</v>
      </c>
      <c r="Y7">
        <v>1983</v>
      </c>
      <c r="Z7">
        <v>491</v>
      </c>
      <c r="AA7">
        <v>92</v>
      </c>
      <c r="AB7">
        <v>2250</v>
      </c>
      <c r="AC7">
        <v>2170</v>
      </c>
      <c r="AD7">
        <v>1988</v>
      </c>
      <c r="AE7">
        <v>71</v>
      </c>
      <c r="AF7">
        <v>442</v>
      </c>
      <c r="AG7">
        <v>199</v>
      </c>
      <c r="AH7">
        <f t="shared" si="0"/>
        <v>1172.0322580645161</v>
      </c>
      <c r="AI7">
        <f t="shared" si="1"/>
        <v>0</v>
      </c>
    </row>
    <row r="8" spans="2:35" x14ac:dyDescent="0.25">
      <c r="B8" s="1" t="s">
        <v>158</v>
      </c>
      <c r="C8">
        <v>10786</v>
      </c>
      <c r="D8">
        <v>15208</v>
      </c>
      <c r="E8">
        <v>8755</v>
      </c>
      <c r="F8">
        <v>9895</v>
      </c>
      <c r="G8">
        <v>15278</v>
      </c>
      <c r="H8">
        <v>10879</v>
      </c>
      <c r="I8">
        <v>12111</v>
      </c>
      <c r="J8">
        <v>12583</v>
      </c>
      <c r="K8">
        <v>12129</v>
      </c>
      <c r="L8">
        <v>11321</v>
      </c>
      <c r="M8">
        <v>7890</v>
      </c>
      <c r="N8">
        <v>7964</v>
      </c>
      <c r="O8">
        <v>11143</v>
      </c>
      <c r="P8">
        <v>22519</v>
      </c>
      <c r="Q8">
        <v>17109</v>
      </c>
      <c r="R8">
        <v>10712</v>
      </c>
      <c r="S8">
        <v>9491</v>
      </c>
      <c r="T8">
        <v>9153</v>
      </c>
      <c r="U8">
        <v>10874</v>
      </c>
      <c r="V8">
        <v>10238</v>
      </c>
      <c r="W8">
        <v>17175</v>
      </c>
      <c r="X8">
        <v>10866</v>
      </c>
      <c r="Y8">
        <v>7259</v>
      </c>
      <c r="Z8">
        <v>6650</v>
      </c>
      <c r="AA8">
        <v>6424</v>
      </c>
      <c r="AB8">
        <v>8066</v>
      </c>
      <c r="AC8">
        <v>7028</v>
      </c>
      <c r="AD8">
        <v>7125</v>
      </c>
      <c r="AE8">
        <v>8144</v>
      </c>
      <c r="AF8">
        <v>5791</v>
      </c>
      <c r="AG8">
        <v>6663</v>
      </c>
      <c r="AH8">
        <f t="shared" si="0"/>
        <v>10555.774193548386</v>
      </c>
      <c r="AI8">
        <f t="shared" si="1"/>
        <v>0</v>
      </c>
    </row>
    <row r="9" spans="2:35" x14ac:dyDescent="0.25">
      <c r="B9" s="1" t="s">
        <v>222</v>
      </c>
      <c r="C9">
        <v>11231</v>
      </c>
      <c r="D9">
        <v>18334</v>
      </c>
      <c r="E9">
        <v>11014</v>
      </c>
      <c r="F9">
        <v>12167</v>
      </c>
      <c r="G9">
        <v>16788</v>
      </c>
      <c r="H9">
        <v>15356</v>
      </c>
      <c r="I9">
        <v>15550</v>
      </c>
      <c r="J9">
        <v>14266</v>
      </c>
      <c r="K9">
        <v>14705</v>
      </c>
      <c r="L9">
        <v>10727</v>
      </c>
      <c r="M9">
        <v>11976</v>
      </c>
      <c r="N9">
        <v>13461</v>
      </c>
      <c r="O9">
        <v>11092</v>
      </c>
      <c r="P9">
        <v>19075</v>
      </c>
      <c r="Q9">
        <v>30664</v>
      </c>
      <c r="R9">
        <v>12621</v>
      </c>
      <c r="S9">
        <v>10902</v>
      </c>
      <c r="T9">
        <v>10465</v>
      </c>
      <c r="U9">
        <v>11720</v>
      </c>
      <c r="V9">
        <v>12033</v>
      </c>
      <c r="W9">
        <v>11511</v>
      </c>
      <c r="X9">
        <v>11176</v>
      </c>
      <c r="Y9">
        <v>12231</v>
      </c>
      <c r="Z9">
        <v>10717</v>
      </c>
      <c r="AA9">
        <v>10113</v>
      </c>
      <c r="AB9">
        <v>14169</v>
      </c>
      <c r="AC9">
        <v>11206</v>
      </c>
      <c r="AD9">
        <v>11666</v>
      </c>
      <c r="AE9">
        <v>10087</v>
      </c>
      <c r="AF9">
        <v>10299</v>
      </c>
      <c r="AG9">
        <v>10103</v>
      </c>
      <c r="AH9">
        <f t="shared" si="0"/>
        <v>13142.741935483871</v>
      </c>
      <c r="AI9">
        <f t="shared" si="1"/>
        <v>0</v>
      </c>
    </row>
    <row r="10" spans="2:35" x14ac:dyDescent="0.25">
      <c r="B10" s="1" t="s">
        <v>50</v>
      </c>
      <c r="C10">
        <v>6</v>
      </c>
      <c r="D10">
        <v>18</v>
      </c>
      <c r="E10">
        <v>105</v>
      </c>
      <c r="F10">
        <v>12</v>
      </c>
      <c r="G10">
        <v>37</v>
      </c>
      <c r="H10">
        <v>20</v>
      </c>
      <c r="I10">
        <v>10</v>
      </c>
      <c r="J10">
        <v>229</v>
      </c>
      <c r="K10">
        <v>50</v>
      </c>
      <c r="L10">
        <v>8</v>
      </c>
      <c r="M10">
        <v>21</v>
      </c>
      <c r="N10">
        <v>2</v>
      </c>
      <c r="O10">
        <v>5</v>
      </c>
      <c r="P10">
        <v>6</v>
      </c>
      <c r="Q10">
        <v>2</v>
      </c>
      <c r="R10">
        <v>4</v>
      </c>
      <c r="S10">
        <v>0</v>
      </c>
      <c r="T10">
        <v>6</v>
      </c>
      <c r="U10">
        <v>14</v>
      </c>
      <c r="V10">
        <v>8</v>
      </c>
      <c r="W10">
        <v>6</v>
      </c>
      <c r="X10">
        <v>0</v>
      </c>
      <c r="Y10">
        <v>10</v>
      </c>
      <c r="Z10">
        <v>12</v>
      </c>
      <c r="AA10">
        <v>0</v>
      </c>
      <c r="AB10">
        <v>9</v>
      </c>
      <c r="AC10">
        <v>8</v>
      </c>
      <c r="AD10">
        <v>26</v>
      </c>
      <c r="AE10">
        <v>21</v>
      </c>
      <c r="AF10">
        <v>7</v>
      </c>
      <c r="AG10">
        <v>13</v>
      </c>
      <c r="AH10">
        <f t="shared" si="0"/>
        <v>21.774193548387096</v>
      </c>
      <c r="AI10">
        <f t="shared" si="1"/>
        <v>3</v>
      </c>
    </row>
    <row r="11" spans="2:35" x14ac:dyDescent="0.25">
      <c r="B11" s="1" t="s">
        <v>346</v>
      </c>
      <c r="C11">
        <v>0</v>
      </c>
      <c r="D11">
        <v>8</v>
      </c>
      <c r="E11">
        <v>0</v>
      </c>
      <c r="F11">
        <v>0</v>
      </c>
      <c r="G11">
        <v>116</v>
      </c>
      <c r="H11">
        <v>186</v>
      </c>
      <c r="I11">
        <v>108</v>
      </c>
      <c r="J11">
        <v>139</v>
      </c>
      <c r="K11">
        <v>124</v>
      </c>
      <c r="L11">
        <v>17</v>
      </c>
      <c r="M11">
        <v>14</v>
      </c>
      <c r="N11">
        <v>9</v>
      </c>
      <c r="O11">
        <v>29</v>
      </c>
      <c r="P11">
        <v>288</v>
      </c>
      <c r="Q11">
        <v>776</v>
      </c>
      <c r="R11">
        <v>283</v>
      </c>
      <c r="S11">
        <v>42</v>
      </c>
      <c r="T11">
        <v>71</v>
      </c>
      <c r="U11">
        <v>215</v>
      </c>
      <c r="V11">
        <v>515</v>
      </c>
      <c r="W11">
        <v>291</v>
      </c>
      <c r="X11">
        <v>136</v>
      </c>
      <c r="Y11">
        <v>60</v>
      </c>
      <c r="Z11">
        <v>109</v>
      </c>
      <c r="AA11">
        <v>62</v>
      </c>
      <c r="AB11">
        <v>252</v>
      </c>
      <c r="AC11">
        <v>535</v>
      </c>
      <c r="AD11">
        <v>525</v>
      </c>
      <c r="AE11">
        <v>618</v>
      </c>
      <c r="AF11">
        <v>653</v>
      </c>
      <c r="AG11">
        <v>590</v>
      </c>
      <c r="AH11">
        <f t="shared" si="0"/>
        <v>218.41935483870967</v>
      </c>
      <c r="AI11">
        <f t="shared" si="1"/>
        <v>3</v>
      </c>
    </row>
    <row r="12" spans="2:35" x14ac:dyDescent="0.25">
      <c r="B12" t="s">
        <v>350</v>
      </c>
      <c r="C12">
        <v>1</v>
      </c>
      <c r="D12">
        <v>0</v>
      </c>
      <c r="E12">
        <v>1</v>
      </c>
      <c r="F12">
        <v>2</v>
      </c>
      <c r="G12">
        <v>2</v>
      </c>
      <c r="H12">
        <v>3</v>
      </c>
      <c r="I12">
        <v>2</v>
      </c>
      <c r="J12">
        <v>2</v>
      </c>
      <c r="K12">
        <v>2</v>
      </c>
      <c r="L12">
        <v>1</v>
      </c>
      <c r="M12">
        <v>1</v>
      </c>
      <c r="N12">
        <v>2</v>
      </c>
      <c r="O12">
        <v>1</v>
      </c>
      <c r="P12">
        <v>4</v>
      </c>
      <c r="Q12">
        <v>0</v>
      </c>
      <c r="R12">
        <v>1</v>
      </c>
      <c r="S12">
        <v>3</v>
      </c>
      <c r="T12">
        <v>0</v>
      </c>
      <c r="U12">
        <v>4</v>
      </c>
      <c r="V12">
        <v>4</v>
      </c>
      <c r="W12">
        <v>5</v>
      </c>
      <c r="X12">
        <v>0</v>
      </c>
      <c r="Y12">
        <v>1</v>
      </c>
      <c r="Z12">
        <v>1</v>
      </c>
      <c r="AA12">
        <v>1</v>
      </c>
      <c r="AB12">
        <v>2</v>
      </c>
      <c r="AC12">
        <v>1</v>
      </c>
      <c r="AD12">
        <v>1</v>
      </c>
      <c r="AE12">
        <v>2</v>
      </c>
      <c r="AF12">
        <v>1</v>
      </c>
      <c r="AG12">
        <v>3</v>
      </c>
      <c r="AH12">
        <f t="shared" si="0"/>
        <v>1.7419354838709677</v>
      </c>
      <c r="AI12">
        <f t="shared" si="1"/>
        <v>4</v>
      </c>
    </row>
    <row r="13" spans="2:35" x14ac:dyDescent="0.25">
      <c r="B13" t="s">
        <v>151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0</v>
      </c>
      <c r="N13">
        <v>0</v>
      </c>
      <c r="O13">
        <v>0</v>
      </c>
      <c r="P13">
        <v>0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f t="shared" si="0"/>
        <v>4.354838709677419</v>
      </c>
      <c r="AI13">
        <f t="shared" si="1"/>
        <v>4</v>
      </c>
    </row>
    <row r="14" spans="2:35" x14ac:dyDescent="0.25">
      <c r="B14" t="s">
        <v>210</v>
      </c>
      <c r="C14">
        <v>72</v>
      </c>
      <c r="D14">
        <v>72</v>
      </c>
      <c r="E14">
        <v>50</v>
      </c>
      <c r="F14">
        <v>61</v>
      </c>
      <c r="G14">
        <v>66</v>
      </c>
      <c r="H14">
        <v>72</v>
      </c>
      <c r="I14">
        <v>47</v>
      </c>
      <c r="J14">
        <v>50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8</v>
      </c>
      <c r="R14">
        <v>3</v>
      </c>
      <c r="S14">
        <v>0</v>
      </c>
      <c r="T14">
        <v>0</v>
      </c>
      <c r="U14">
        <v>42</v>
      </c>
      <c r="V14">
        <v>51</v>
      </c>
      <c r="W14">
        <v>67</v>
      </c>
      <c r="X14">
        <v>95</v>
      </c>
      <c r="Y14">
        <v>76</v>
      </c>
      <c r="Z14">
        <v>61</v>
      </c>
      <c r="AA14">
        <v>50</v>
      </c>
      <c r="AB14">
        <v>51</v>
      </c>
      <c r="AC14">
        <v>50</v>
      </c>
      <c r="AD14">
        <v>50</v>
      </c>
      <c r="AE14">
        <v>61</v>
      </c>
      <c r="AF14">
        <v>60</v>
      </c>
      <c r="AG14">
        <v>0</v>
      </c>
      <c r="AH14">
        <f t="shared" si="0"/>
        <v>39.387096774193552</v>
      </c>
      <c r="AI14">
        <f t="shared" si="1"/>
        <v>8</v>
      </c>
    </row>
    <row r="15" spans="2:35" x14ac:dyDescent="0.25">
      <c r="B15" t="s">
        <v>205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v>0</v>
      </c>
      <c r="M15">
        <v>49</v>
      </c>
      <c r="N15">
        <v>1131</v>
      </c>
      <c r="O15">
        <v>147</v>
      </c>
      <c r="P15">
        <v>111</v>
      </c>
      <c r="Q15">
        <v>205</v>
      </c>
      <c r="R15">
        <v>108</v>
      </c>
      <c r="S15">
        <v>26</v>
      </c>
      <c r="T15">
        <v>12</v>
      </c>
      <c r="U15">
        <v>58</v>
      </c>
      <c r="V15">
        <v>19</v>
      </c>
      <c r="W15">
        <v>39</v>
      </c>
      <c r="X15">
        <v>24</v>
      </c>
      <c r="Y15">
        <v>33</v>
      </c>
      <c r="Z15">
        <v>1</v>
      </c>
      <c r="AA15">
        <v>9</v>
      </c>
      <c r="AB15">
        <v>8</v>
      </c>
      <c r="AC15">
        <v>19</v>
      </c>
      <c r="AD15">
        <v>26</v>
      </c>
      <c r="AE15">
        <v>2</v>
      </c>
      <c r="AF15">
        <v>6</v>
      </c>
      <c r="AG15">
        <v>10</v>
      </c>
      <c r="AH15">
        <f t="shared" si="0"/>
        <v>66.064516129032256</v>
      </c>
      <c r="AI15">
        <f t="shared" si="1"/>
        <v>9</v>
      </c>
    </row>
    <row r="16" spans="2:35" x14ac:dyDescent="0.25">
      <c r="B16" t="s">
        <v>355</v>
      </c>
      <c r="C16">
        <v>0</v>
      </c>
      <c r="D16">
        <v>4</v>
      </c>
      <c r="E16">
        <v>0</v>
      </c>
      <c r="F16">
        <v>0</v>
      </c>
      <c r="G16">
        <v>17</v>
      </c>
      <c r="H16">
        <v>8</v>
      </c>
      <c r="I16">
        <v>10</v>
      </c>
      <c r="J16">
        <v>59</v>
      </c>
      <c r="K16">
        <v>218</v>
      </c>
      <c r="L16">
        <v>0</v>
      </c>
      <c r="M16">
        <v>0</v>
      </c>
      <c r="N16">
        <v>0</v>
      </c>
      <c r="O16">
        <v>0</v>
      </c>
      <c r="P16">
        <v>12</v>
      </c>
      <c r="Q16">
        <v>3</v>
      </c>
      <c r="R16">
        <v>4</v>
      </c>
      <c r="S16">
        <v>0</v>
      </c>
      <c r="T16">
        <v>0</v>
      </c>
      <c r="U16">
        <v>2</v>
      </c>
      <c r="V16">
        <v>4</v>
      </c>
      <c r="W16">
        <v>0</v>
      </c>
      <c r="X16">
        <v>8</v>
      </c>
      <c r="Y16">
        <v>2</v>
      </c>
      <c r="Z16">
        <v>0</v>
      </c>
      <c r="AA16">
        <v>0</v>
      </c>
      <c r="AB16">
        <v>6</v>
      </c>
      <c r="AC16">
        <v>85</v>
      </c>
      <c r="AD16">
        <v>8</v>
      </c>
      <c r="AE16">
        <v>2</v>
      </c>
      <c r="AF16">
        <v>0</v>
      </c>
      <c r="AG16">
        <v>0</v>
      </c>
      <c r="AH16">
        <f t="shared" si="0"/>
        <v>14.580645161290322</v>
      </c>
      <c r="AI16">
        <f t="shared" si="1"/>
        <v>14</v>
      </c>
    </row>
    <row r="17" spans="2:35" x14ac:dyDescent="0.25">
      <c r="B17" t="s">
        <v>220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4</v>
      </c>
      <c r="R17">
        <v>3</v>
      </c>
      <c r="S17">
        <v>0</v>
      </c>
      <c r="T17">
        <v>0</v>
      </c>
      <c r="U17">
        <v>4</v>
      </c>
      <c r="V17">
        <v>10</v>
      </c>
      <c r="W17">
        <v>7</v>
      </c>
      <c r="X17">
        <v>3</v>
      </c>
      <c r="Y17">
        <v>4</v>
      </c>
      <c r="Z17">
        <v>3</v>
      </c>
      <c r="AA17">
        <v>3</v>
      </c>
      <c r="AB17">
        <v>9</v>
      </c>
      <c r="AC17">
        <v>6</v>
      </c>
      <c r="AD17">
        <v>4</v>
      </c>
      <c r="AE17">
        <v>3</v>
      </c>
      <c r="AF17">
        <v>3</v>
      </c>
      <c r="AG17">
        <v>3</v>
      </c>
      <c r="AH17">
        <f t="shared" si="0"/>
        <v>2.2903225806451615</v>
      </c>
      <c r="AI17">
        <f t="shared" si="1"/>
        <v>15</v>
      </c>
    </row>
    <row r="18" spans="2:35" x14ac:dyDescent="0.25">
      <c r="B18" t="s">
        <v>73</v>
      </c>
      <c r="C18">
        <v>0</v>
      </c>
      <c r="D18">
        <v>0</v>
      </c>
      <c r="E18">
        <v>0</v>
      </c>
      <c r="F18">
        <v>4</v>
      </c>
      <c r="G18">
        <v>4</v>
      </c>
      <c r="H18">
        <v>1</v>
      </c>
      <c r="I18">
        <v>0</v>
      </c>
      <c r="J18">
        <v>0</v>
      </c>
      <c r="K18">
        <v>0</v>
      </c>
      <c r="L18">
        <v>2</v>
      </c>
      <c r="M18">
        <v>5</v>
      </c>
      <c r="N18">
        <v>1</v>
      </c>
      <c r="O18">
        <v>0</v>
      </c>
      <c r="P18">
        <v>1</v>
      </c>
      <c r="Q18">
        <v>6</v>
      </c>
      <c r="R18">
        <v>0</v>
      </c>
      <c r="S18">
        <v>0</v>
      </c>
      <c r="T18">
        <v>2</v>
      </c>
      <c r="U18">
        <v>2</v>
      </c>
      <c r="V18">
        <v>2</v>
      </c>
      <c r="W18">
        <v>8</v>
      </c>
      <c r="X18">
        <v>9</v>
      </c>
      <c r="Y18">
        <v>0</v>
      </c>
      <c r="Z18">
        <v>5</v>
      </c>
      <c r="AA18">
        <v>0</v>
      </c>
      <c r="AB18">
        <v>0</v>
      </c>
      <c r="AC18">
        <v>0</v>
      </c>
      <c r="AD18">
        <v>12</v>
      </c>
      <c r="AE18">
        <v>0</v>
      </c>
      <c r="AF18">
        <v>0</v>
      </c>
      <c r="AG18">
        <v>0</v>
      </c>
      <c r="AH18">
        <f t="shared" si="0"/>
        <v>2.064516129032258</v>
      </c>
      <c r="AI18">
        <f t="shared" si="1"/>
        <v>16</v>
      </c>
    </row>
    <row r="19" spans="2:35" x14ac:dyDescent="0.25">
      <c r="B19" t="s">
        <v>190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366</v>
      </c>
      <c r="V19">
        <v>185</v>
      </c>
      <c r="W19">
        <v>316</v>
      </c>
      <c r="X19">
        <v>347</v>
      </c>
      <c r="Y19">
        <v>489</v>
      </c>
      <c r="Z19">
        <v>401</v>
      </c>
      <c r="AA19">
        <v>309</v>
      </c>
      <c r="AB19">
        <v>505</v>
      </c>
      <c r="AC19">
        <v>193</v>
      </c>
      <c r="AD19">
        <v>195</v>
      </c>
      <c r="AE19">
        <v>138</v>
      </c>
      <c r="AF19">
        <v>129</v>
      </c>
      <c r="AG19">
        <v>215</v>
      </c>
      <c r="AH19">
        <f t="shared" si="0"/>
        <v>122.19354838709677</v>
      </c>
      <c r="AI19">
        <f t="shared" si="1"/>
        <v>18</v>
      </c>
    </row>
    <row r="20" spans="2:35" x14ac:dyDescent="0.25">
      <c r="B20" t="s">
        <v>155</v>
      </c>
      <c r="C20">
        <v>0</v>
      </c>
      <c r="D20">
        <v>6</v>
      </c>
      <c r="E20">
        <v>154</v>
      </c>
      <c r="F20">
        <v>172</v>
      </c>
      <c r="G20">
        <v>46</v>
      </c>
      <c r="H20">
        <v>1118</v>
      </c>
      <c r="I20">
        <v>0</v>
      </c>
      <c r="J20">
        <v>104</v>
      </c>
      <c r="K20">
        <v>23</v>
      </c>
      <c r="L20">
        <v>0</v>
      </c>
      <c r="M20">
        <v>0</v>
      </c>
      <c r="N20">
        <v>0</v>
      </c>
      <c r="O20">
        <v>0</v>
      </c>
      <c r="P20">
        <v>0</v>
      </c>
      <c r="Q20">
        <v>5</v>
      </c>
      <c r="R20">
        <v>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f t="shared" si="0"/>
        <v>52.967741935483872</v>
      </c>
      <c r="AI20">
        <f t="shared" si="1"/>
        <v>22</v>
      </c>
    </row>
    <row r="21" spans="2:35" x14ac:dyDescent="0.25">
      <c r="B21" t="s">
        <v>211</v>
      </c>
      <c r="C21">
        <v>8</v>
      </c>
      <c r="D21">
        <v>34</v>
      </c>
      <c r="E21">
        <v>0</v>
      </c>
      <c r="F21">
        <v>0</v>
      </c>
      <c r="G21">
        <v>11</v>
      </c>
      <c r="H21">
        <v>0</v>
      </c>
      <c r="I21">
        <v>5</v>
      </c>
      <c r="J21">
        <v>0</v>
      </c>
      <c r="K21">
        <v>6</v>
      </c>
      <c r="L21">
        <v>0</v>
      </c>
      <c r="M21">
        <v>0</v>
      </c>
      <c r="N21">
        <v>0</v>
      </c>
      <c r="O21">
        <v>0</v>
      </c>
      <c r="P21">
        <v>15</v>
      </c>
      <c r="Q21">
        <v>0</v>
      </c>
      <c r="R21">
        <v>0</v>
      </c>
      <c r="S21">
        <v>0</v>
      </c>
      <c r="T21">
        <v>0</v>
      </c>
      <c r="U21">
        <v>13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12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f t="shared" si="0"/>
        <v>3.5161290322580645</v>
      </c>
      <c r="AI21">
        <f t="shared" si="1"/>
        <v>22</v>
      </c>
    </row>
    <row r="22" spans="2:35" x14ac:dyDescent="0.25">
      <c r="B22" t="s">
        <v>161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2</v>
      </c>
      <c r="X22">
        <v>2</v>
      </c>
      <c r="Y22">
        <v>2</v>
      </c>
      <c r="Z22">
        <v>0</v>
      </c>
      <c r="AA22">
        <v>0</v>
      </c>
      <c r="AB22">
        <v>0</v>
      </c>
      <c r="AC22">
        <v>2</v>
      </c>
      <c r="AD22">
        <v>1</v>
      </c>
      <c r="AE22">
        <v>0</v>
      </c>
      <c r="AF22">
        <v>0</v>
      </c>
      <c r="AG22">
        <v>0</v>
      </c>
      <c r="AH22">
        <f t="shared" si="0"/>
        <v>0.41935483870967744</v>
      </c>
      <c r="AI22">
        <f t="shared" si="1"/>
        <v>25</v>
      </c>
    </row>
    <row r="23" spans="2:35" x14ac:dyDescent="0.25">
      <c r="B23" t="s">
        <v>219</v>
      </c>
      <c r="C23">
        <v>0</v>
      </c>
      <c r="D23">
        <v>0</v>
      </c>
      <c r="E23">
        <v>0</v>
      </c>
      <c r="F23">
        <v>0</v>
      </c>
      <c r="G23">
        <v>107</v>
      </c>
      <c r="H23">
        <v>0</v>
      </c>
      <c r="I23">
        <v>0</v>
      </c>
      <c r="J23">
        <v>139</v>
      </c>
      <c r="K23">
        <v>62</v>
      </c>
      <c r="L23">
        <v>0</v>
      </c>
      <c r="M23">
        <v>0</v>
      </c>
      <c r="N23">
        <v>0</v>
      </c>
      <c r="O23">
        <v>2013</v>
      </c>
      <c r="P23">
        <v>0</v>
      </c>
      <c r="Q23">
        <v>42</v>
      </c>
      <c r="R23">
        <v>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0"/>
        <v>76.903225806451616</v>
      </c>
      <c r="AI23">
        <f t="shared" si="1"/>
        <v>25</v>
      </c>
    </row>
    <row r="24" spans="2:35" x14ac:dyDescent="0.25">
      <c r="B24" t="s">
        <v>345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3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0"/>
        <v>0.35483870967741937</v>
      </c>
      <c r="AI24">
        <f t="shared" si="1"/>
        <v>26</v>
      </c>
    </row>
    <row r="25" spans="2:35" x14ac:dyDescent="0.25">
      <c r="B25" t="s">
        <v>146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80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9</v>
      </c>
      <c r="AE25">
        <v>0</v>
      </c>
      <c r="AF25">
        <v>0</v>
      </c>
      <c r="AG25">
        <v>0</v>
      </c>
      <c r="AH25">
        <f t="shared" si="0"/>
        <v>2.935483870967742</v>
      </c>
      <c r="AI25">
        <f t="shared" si="1"/>
        <v>28</v>
      </c>
    </row>
    <row r="26" spans="2:35" x14ac:dyDescent="0.25"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f t="shared" si="0"/>
        <v>3.2258064516129031E-2</v>
      </c>
      <c r="AI26">
        <f t="shared" si="1"/>
        <v>30</v>
      </c>
    </row>
    <row r="27" spans="2:35" x14ac:dyDescent="0.25">
      <c r="B27" t="s">
        <v>349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0"/>
        <v>6.4516129032258063E-2</v>
      </c>
      <c r="AI27">
        <f t="shared" si="1"/>
        <v>30</v>
      </c>
    </row>
    <row r="28" spans="2:35" x14ac:dyDescent="0.25">
      <c r="B28" t="s">
        <v>351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0"/>
        <v>0.25806451612903225</v>
      </c>
      <c r="AI28">
        <f t="shared" si="1"/>
        <v>30</v>
      </c>
    </row>
    <row r="29" spans="2:35" x14ac:dyDescent="0.25">
      <c r="B29" t="s">
        <v>133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>
        <f t="shared" si="0"/>
        <v>6.4516129032258063E-2</v>
      </c>
      <c r="AI29">
        <f t="shared" si="1"/>
        <v>30</v>
      </c>
    </row>
    <row r="30" spans="2:35" x14ac:dyDescent="0.25">
      <c r="B30" t="s">
        <v>152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0"/>
        <v>0.45161290322580644</v>
      </c>
      <c r="AI30">
        <f t="shared" si="1"/>
        <v>30</v>
      </c>
    </row>
    <row r="31" spans="2:35" x14ac:dyDescent="0.25">
      <c r="B31" t="s">
        <v>175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0"/>
        <v>0.12903225806451613</v>
      </c>
      <c r="AI31">
        <f t="shared" si="1"/>
        <v>30</v>
      </c>
    </row>
    <row r="32" spans="2:35" x14ac:dyDescent="0.25">
      <c r="B32" t="s">
        <v>356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0</v>
      </c>
      <c r="AE32">
        <v>0</v>
      </c>
      <c r="AF32">
        <v>0</v>
      </c>
      <c r="AG32">
        <v>0</v>
      </c>
      <c r="AH32">
        <f t="shared" si="0"/>
        <v>9.6774193548387094E-2</v>
      </c>
      <c r="AI32">
        <f t="shared" si="1"/>
        <v>30</v>
      </c>
    </row>
    <row r="33" spans="2:35" x14ac:dyDescent="0.25">
      <c r="B33" t="s">
        <v>214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0"/>
        <v>3.2258064516129031E-2</v>
      </c>
      <c r="AI33">
        <f t="shared" si="1"/>
        <v>30</v>
      </c>
    </row>
    <row r="34" spans="2:35" x14ac:dyDescent="0.25">
      <c r="B34" t="s">
        <v>216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f t="shared" si="0"/>
        <v>0.29032258064516131</v>
      </c>
      <c r="AI34">
        <f t="shared" si="1"/>
        <v>30</v>
      </c>
    </row>
    <row r="35" spans="2:35" x14ac:dyDescent="0.25">
      <c r="B35" t="s">
        <v>343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0"/>
        <v>0</v>
      </c>
      <c r="AI35">
        <f t="shared" si="1"/>
        <v>31</v>
      </c>
    </row>
    <row r="36" spans="2:35" x14ac:dyDescent="0.25"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f t="shared" si="0"/>
        <v>0</v>
      </c>
      <c r="AI36">
        <f t="shared" si="1"/>
        <v>31</v>
      </c>
    </row>
    <row r="37" spans="2:35" x14ac:dyDescent="0.25"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 t="shared" si="0"/>
        <v>0</v>
      </c>
      <c r="AI37">
        <f t="shared" si="1"/>
        <v>31</v>
      </c>
    </row>
    <row r="38" spans="2:35" x14ac:dyDescent="0.25">
      <c r="B38" t="s">
        <v>141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f t="shared" si="0"/>
        <v>0</v>
      </c>
      <c r="AI38">
        <f t="shared" si="1"/>
        <v>31</v>
      </c>
    </row>
    <row r="39" spans="2:35" x14ac:dyDescent="0.25">
      <c r="B39" t="s">
        <v>353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0"/>
        <v>0</v>
      </c>
      <c r="AI39">
        <f t="shared" si="1"/>
        <v>31</v>
      </c>
    </row>
    <row r="40" spans="2:35" x14ac:dyDescent="0.25">
      <c r="B40" t="s">
        <v>157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f t="shared" si="0"/>
        <v>0</v>
      </c>
      <c r="AI40">
        <f t="shared" si="1"/>
        <v>31</v>
      </c>
    </row>
    <row r="41" spans="2:35" x14ac:dyDescent="0.25">
      <c r="B41" t="s">
        <v>357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 t="shared" si="0"/>
        <v>0</v>
      </c>
      <c r="AI41">
        <f t="shared" si="1"/>
        <v>31</v>
      </c>
    </row>
  </sheetData>
  <autoFilter ref="B2:AI2" xr:uid="{06F58D11-3ABD-42CF-AE8A-A394EB104383}">
    <sortState xmlns:xlrd2="http://schemas.microsoft.com/office/spreadsheetml/2017/richdata2" ref="B3:AI41">
      <sortCondition ref="AI2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F9A4-CBD3-4229-84CA-7F6705D35DBC}">
  <dimension ref="B1:E40"/>
  <sheetViews>
    <sheetView workbookViewId="0">
      <selection activeCell="D37" sqref="D37"/>
    </sheetView>
  </sheetViews>
  <sheetFormatPr defaultRowHeight="15" x14ac:dyDescent="0.25"/>
  <cols>
    <col min="2" max="2" width="65" bestFit="1" customWidth="1"/>
    <col min="3" max="4" width="59.7109375" bestFit="1" customWidth="1"/>
  </cols>
  <sheetData>
    <row r="1" spans="2:5" ht="15.75" thickBot="1" x14ac:dyDescent="0.3">
      <c r="B1" s="15" t="s">
        <v>342</v>
      </c>
    </row>
    <row r="2" spans="2:5" x14ac:dyDescent="0.25">
      <c r="B2" s="9" t="s">
        <v>358</v>
      </c>
      <c r="C2" s="10" t="s">
        <v>359</v>
      </c>
      <c r="D2" s="11" t="s">
        <v>360</v>
      </c>
      <c r="E2" s="2"/>
    </row>
    <row r="3" spans="2:5" ht="15.75" thickBot="1" x14ac:dyDescent="0.3">
      <c r="B3" s="12" t="str">
        <f>"Jumlah Instansi = " &amp; COUNTA(B4:B1048576) &amp; " (" &amp; TEXT((COUNTA(B4:B1048576)/730)*100, "0.00") &amp; "%)"</f>
        <v>Jumlah Instansi = 28 (3.84%)</v>
      </c>
      <c r="C3" s="13" t="str">
        <f>"Jumlah Instansi = " &amp; COUNTA(C4:C1048576) &amp; " (" &amp; TEXT((COUNTA(C4:C1048576)/730)*100, "0.00") &amp; "%)"</f>
        <v>Jumlah Instansi = 10 (1.37%)</v>
      </c>
      <c r="D3" s="14" t="str">
        <f>"Jumlah Instansi = " &amp; COUNTA(D4:D1048576) &amp; " (" &amp; TEXT((COUNTA(D4:D1048576)/730)*100, "0.00") &amp; "%)"</f>
        <v>Jumlah Instansi = 37 (5.07%)</v>
      </c>
    </row>
    <row r="4" spans="2:5" x14ac:dyDescent="0.25">
      <c r="B4" s="3" t="s">
        <v>33</v>
      </c>
      <c r="C4" s="6" t="s">
        <v>347</v>
      </c>
      <c r="D4" s="6" t="s">
        <v>33</v>
      </c>
    </row>
    <row r="5" spans="2:5" x14ac:dyDescent="0.25">
      <c r="B5" s="4" t="s">
        <v>218</v>
      </c>
      <c r="C5" s="7" t="s">
        <v>352</v>
      </c>
      <c r="D5" s="7" t="s">
        <v>218</v>
      </c>
    </row>
    <row r="6" spans="2:5" x14ac:dyDescent="0.25">
      <c r="B6" s="4" t="s">
        <v>216</v>
      </c>
      <c r="C6" s="7" t="s">
        <v>354</v>
      </c>
      <c r="D6" s="7" t="s">
        <v>216</v>
      </c>
    </row>
    <row r="7" spans="2:5" x14ac:dyDescent="0.25">
      <c r="B7" s="4" t="s">
        <v>151</v>
      </c>
      <c r="C7" s="7" t="s">
        <v>158</v>
      </c>
      <c r="D7" s="7" t="s">
        <v>151</v>
      </c>
    </row>
    <row r="8" spans="2:5" x14ac:dyDescent="0.25">
      <c r="B8" s="4" t="s">
        <v>35</v>
      </c>
      <c r="C8" s="7" t="s">
        <v>210</v>
      </c>
      <c r="D8" s="7" t="s">
        <v>35</v>
      </c>
    </row>
    <row r="9" spans="2:5" x14ac:dyDescent="0.25">
      <c r="B9" s="4" t="s">
        <v>57</v>
      </c>
      <c r="C9" s="7" t="s">
        <v>220</v>
      </c>
      <c r="D9" s="7" t="s">
        <v>57</v>
      </c>
    </row>
    <row r="10" spans="2:5" x14ac:dyDescent="0.25">
      <c r="B10" s="4" t="s">
        <v>143</v>
      </c>
      <c r="C10" s="7" t="s">
        <v>50</v>
      </c>
      <c r="D10" s="7" t="s">
        <v>143</v>
      </c>
    </row>
    <row r="11" spans="2:5" x14ac:dyDescent="0.25">
      <c r="B11" s="4" t="s">
        <v>55</v>
      </c>
      <c r="C11" s="7" t="s">
        <v>348</v>
      </c>
      <c r="D11" s="7" t="s">
        <v>55</v>
      </c>
    </row>
    <row r="12" spans="2:5" x14ac:dyDescent="0.25">
      <c r="B12" s="4" t="s">
        <v>210</v>
      </c>
      <c r="C12" s="7" t="s">
        <v>344</v>
      </c>
      <c r="D12" s="7" t="s">
        <v>210</v>
      </c>
    </row>
    <row r="13" spans="2:5" x14ac:dyDescent="0.25">
      <c r="B13" s="4" t="s">
        <v>32</v>
      </c>
      <c r="C13" s="7" t="s">
        <v>346</v>
      </c>
      <c r="D13" s="7" t="s">
        <v>32</v>
      </c>
    </row>
    <row r="14" spans="2:5" x14ac:dyDescent="0.25">
      <c r="B14" s="4" t="s">
        <v>51</v>
      </c>
      <c r="C14" s="7"/>
      <c r="D14" s="7" t="s">
        <v>51</v>
      </c>
    </row>
    <row r="15" spans="2:5" x14ac:dyDescent="0.25">
      <c r="B15" s="4" t="s">
        <v>46</v>
      </c>
      <c r="C15" s="7"/>
      <c r="D15" s="7" t="s">
        <v>46</v>
      </c>
    </row>
    <row r="16" spans="2:5" x14ac:dyDescent="0.25">
      <c r="B16" s="4" t="s">
        <v>70</v>
      </c>
      <c r="C16" s="7"/>
      <c r="D16" s="7" t="s">
        <v>70</v>
      </c>
    </row>
    <row r="17" spans="2:4" x14ac:dyDescent="0.25">
      <c r="B17" s="4" t="s">
        <v>203</v>
      </c>
      <c r="C17" s="7"/>
      <c r="D17" s="7" t="s">
        <v>203</v>
      </c>
    </row>
    <row r="18" spans="2:4" x14ac:dyDescent="0.25">
      <c r="B18" s="4" t="s">
        <v>152</v>
      </c>
      <c r="C18" s="7"/>
      <c r="D18" s="7" t="s">
        <v>152</v>
      </c>
    </row>
    <row r="19" spans="2:4" x14ac:dyDescent="0.25">
      <c r="B19" s="4" t="s">
        <v>189</v>
      </c>
      <c r="C19" s="7"/>
      <c r="D19" s="7" t="s">
        <v>189</v>
      </c>
    </row>
    <row r="20" spans="2:4" x14ac:dyDescent="0.25">
      <c r="B20" s="4" t="s">
        <v>125</v>
      </c>
      <c r="C20" s="7"/>
      <c r="D20" s="7" t="s">
        <v>125</v>
      </c>
    </row>
    <row r="21" spans="2:4" x14ac:dyDescent="0.25">
      <c r="B21" s="4" t="s">
        <v>139</v>
      </c>
      <c r="C21" s="7"/>
      <c r="D21" s="7" t="s">
        <v>139</v>
      </c>
    </row>
    <row r="22" spans="2:4" x14ac:dyDescent="0.25">
      <c r="B22" s="4" t="s">
        <v>112</v>
      </c>
      <c r="C22" s="7"/>
      <c r="D22" s="7" t="s">
        <v>112</v>
      </c>
    </row>
    <row r="23" spans="2:4" x14ac:dyDescent="0.25">
      <c r="B23" s="4" t="s">
        <v>163</v>
      </c>
      <c r="C23" s="7"/>
      <c r="D23" s="7" t="s">
        <v>163</v>
      </c>
    </row>
    <row r="24" spans="2:4" x14ac:dyDescent="0.25">
      <c r="B24" s="4" t="s">
        <v>195</v>
      </c>
      <c r="C24" s="7"/>
      <c r="D24" s="7" t="s">
        <v>195</v>
      </c>
    </row>
    <row r="25" spans="2:4" x14ac:dyDescent="0.25">
      <c r="B25" s="4" t="s">
        <v>66</v>
      </c>
      <c r="C25" s="7"/>
      <c r="D25" s="7" t="s">
        <v>66</v>
      </c>
    </row>
    <row r="26" spans="2:4" x14ac:dyDescent="0.25">
      <c r="B26" s="4" t="s">
        <v>174</v>
      </c>
      <c r="C26" s="7"/>
      <c r="D26" s="7" t="s">
        <v>174</v>
      </c>
    </row>
    <row r="27" spans="2:4" x14ac:dyDescent="0.25">
      <c r="B27" s="4" t="s">
        <v>190</v>
      </c>
      <c r="C27" s="7"/>
      <c r="D27" s="7" t="s">
        <v>190</v>
      </c>
    </row>
    <row r="28" spans="2:4" x14ac:dyDescent="0.25">
      <c r="B28" s="4" t="s">
        <v>52</v>
      </c>
      <c r="C28" s="7"/>
      <c r="D28" s="7" t="s">
        <v>52</v>
      </c>
    </row>
    <row r="29" spans="2:4" x14ac:dyDescent="0.25">
      <c r="B29" s="4" t="s">
        <v>72</v>
      </c>
      <c r="C29" s="7"/>
      <c r="D29" s="7" t="s">
        <v>72</v>
      </c>
    </row>
    <row r="30" spans="2:4" x14ac:dyDescent="0.25">
      <c r="B30" s="4" t="s">
        <v>61</v>
      </c>
      <c r="C30" s="7"/>
      <c r="D30" s="7" t="s">
        <v>61</v>
      </c>
    </row>
    <row r="31" spans="2:4" x14ac:dyDescent="0.25">
      <c r="B31" s="4" t="s">
        <v>164</v>
      </c>
      <c r="C31" s="7"/>
      <c r="D31" s="7" t="s">
        <v>164</v>
      </c>
    </row>
    <row r="32" spans="2:4" x14ac:dyDescent="0.25">
      <c r="B32" s="4"/>
      <c r="C32" s="7"/>
      <c r="D32" s="7" t="s">
        <v>347</v>
      </c>
    </row>
    <row r="33" spans="2:4" x14ac:dyDescent="0.25">
      <c r="B33" s="4"/>
      <c r="C33" s="7"/>
      <c r="D33" s="7" t="s">
        <v>352</v>
      </c>
    </row>
    <row r="34" spans="2:4" x14ac:dyDescent="0.25">
      <c r="B34" s="4"/>
      <c r="C34" s="7"/>
      <c r="D34" s="7" t="s">
        <v>354</v>
      </c>
    </row>
    <row r="35" spans="2:4" x14ac:dyDescent="0.25">
      <c r="B35" s="4"/>
      <c r="C35" s="7"/>
      <c r="D35" s="7" t="s">
        <v>158</v>
      </c>
    </row>
    <row r="36" spans="2:4" x14ac:dyDescent="0.25">
      <c r="B36" s="4"/>
      <c r="C36" s="7"/>
      <c r="D36" s="7" t="s">
        <v>220</v>
      </c>
    </row>
    <row r="37" spans="2:4" x14ac:dyDescent="0.25">
      <c r="B37" s="4"/>
      <c r="C37" s="7"/>
      <c r="D37" s="7" t="s">
        <v>50</v>
      </c>
    </row>
    <row r="38" spans="2:4" x14ac:dyDescent="0.25">
      <c r="B38" s="4"/>
      <c r="C38" s="7"/>
      <c r="D38" s="7" t="s">
        <v>348</v>
      </c>
    </row>
    <row r="39" spans="2:4" x14ac:dyDescent="0.25">
      <c r="B39" s="4"/>
      <c r="C39" s="7"/>
      <c r="D39" s="7" t="s">
        <v>344</v>
      </c>
    </row>
    <row r="40" spans="2:4" ht="15.75" thickBot="1" x14ac:dyDescent="0.3">
      <c r="B40" s="5"/>
      <c r="C40" s="8"/>
      <c r="D40" s="8" t="s">
        <v>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FE40-EEF5-4B21-B32A-92014D64ABE7}">
  <dimension ref="B1:G44"/>
  <sheetViews>
    <sheetView tabSelected="1" topLeftCell="A10" workbookViewId="0">
      <selection activeCell="C41" sqref="C41"/>
    </sheetView>
  </sheetViews>
  <sheetFormatPr defaultRowHeight="15" x14ac:dyDescent="0.25"/>
  <cols>
    <col min="2" max="2" width="16.7109375" bestFit="1" customWidth="1"/>
    <col min="3" max="7" width="59.7109375" bestFit="1" customWidth="1"/>
  </cols>
  <sheetData>
    <row r="1" spans="2:7" ht="15.75" thickBot="1" x14ac:dyDescent="0.3"/>
    <row r="2" spans="2:7" ht="19.5" thickBot="1" x14ac:dyDescent="0.35">
      <c r="C2" s="23" t="s">
        <v>362</v>
      </c>
      <c r="D2" s="25" t="s">
        <v>363</v>
      </c>
      <c r="E2" s="25" t="s">
        <v>364</v>
      </c>
      <c r="F2" s="25" t="s">
        <v>365</v>
      </c>
      <c r="G2" s="24" t="s">
        <v>366</v>
      </c>
    </row>
    <row r="3" spans="2:7" ht="18.75" x14ac:dyDescent="0.3">
      <c r="B3" s="22" t="s">
        <v>361</v>
      </c>
      <c r="C3" s="3" t="s">
        <v>33</v>
      </c>
      <c r="D3" s="7" t="s">
        <v>33</v>
      </c>
      <c r="E3" s="7" t="s">
        <v>33</v>
      </c>
      <c r="F3" s="7" t="s">
        <v>33</v>
      </c>
      <c r="G3" s="16" t="s">
        <v>33</v>
      </c>
    </row>
    <row r="4" spans="2:7" x14ac:dyDescent="0.25">
      <c r="B4" s="7"/>
      <c r="C4" s="4" t="s">
        <v>218</v>
      </c>
      <c r="D4" s="7" t="s">
        <v>218</v>
      </c>
      <c r="E4" s="7" t="s">
        <v>218</v>
      </c>
      <c r="F4" s="7" t="s">
        <v>218</v>
      </c>
      <c r="G4" s="17" t="s">
        <v>218</v>
      </c>
    </row>
    <row r="5" spans="2:7" x14ac:dyDescent="0.25">
      <c r="B5" s="7"/>
      <c r="C5" s="4" t="s">
        <v>216</v>
      </c>
      <c r="D5" s="7" t="s">
        <v>216</v>
      </c>
      <c r="E5" s="7" t="s">
        <v>216</v>
      </c>
      <c r="F5" s="7" t="s">
        <v>216</v>
      </c>
      <c r="G5" s="17" t="s">
        <v>216</v>
      </c>
    </row>
    <row r="6" spans="2:7" x14ac:dyDescent="0.25">
      <c r="B6" s="7"/>
      <c r="C6" s="4" t="s">
        <v>151</v>
      </c>
      <c r="D6" s="7" t="s">
        <v>151</v>
      </c>
      <c r="E6" s="7" t="s">
        <v>151</v>
      </c>
      <c r="F6" s="7" t="s">
        <v>151</v>
      </c>
      <c r="G6" s="17" t="s">
        <v>151</v>
      </c>
    </row>
    <row r="7" spans="2:7" x14ac:dyDescent="0.25">
      <c r="B7" s="7"/>
      <c r="C7" s="4" t="s">
        <v>35</v>
      </c>
      <c r="D7" s="7" t="s">
        <v>35</v>
      </c>
      <c r="E7" s="7" t="s">
        <v>35</v>
      </c>
      <c r="F7" s="7" t="s">
        <v>35</v>
      </c>
      <c r="G7" s="17" t="s">
        <v>35</v>
      </c>
    </row>
    <row r="8" spans="2:7" x14ac:dyDescent="0.25">
      <c r="B8" s="7"/>
      <c r="C8" s="4" t="s">
        <v>57</v>
      </c>
      <c r="D8" s="7" t="s">
        <v>57</v>
      </c>
      <c r="E8" s="7" t="s">
        <v>57</v>
      </c>
      <c r="F8" s="7" t="s">
        <v>57</v>
      </c>
      <c r="G8" s="17" t="s">
        <v>57</v>
      </c>
    </row>
    <row r="9" spans="2:7" x14ac:dyDescent="0.25">
      <c r="B9" s="7"/>
      <c r="C9" s="4" t="s">
        <v>143</v>
      </c>
      <c r="D9" s="7" t="s">
        <v>143</v>
      </c>
      <c r="E9" s="7" t="s">
        <v>143</v>
      </c>
      <c r="F9" s="7" t="s">
        <v>143</v>
      </c>
      <c r="G9" s="17" t="s">
        <v>143</v>
      </c>
    </row>
    <row r="10" spans="2:7" x14ac:dyDescent="0.25">
      <c r="B10" s="7"/>
      <c r="C10" s="4" t="s">
        <v>55</v>
      </c>
      <c r="D10" s="7" t="s">
        <v>55</v>
      </c>
      <c r="E10" s="7" t="s">
        <v>55</v>
      </c>
      <c r="F10" s="7" t="s">
        <v>55</v>
      </c>
      <c r="G10" s="17" t="s">
        <v>55</v>
      </c>
    </row>
    <row r="11" spans="2:7" x14ac:dyDescent="0.25">
      <c r="B11" s="7"/>
      <c r="C11" s="4" t="s">
        <v>210</v>
      </c>
      <c r="D11" s="7" t="s">
        <v>210</v>
      </c>
      <c r="E11" s="7" t="s">
        <v>210</v>
      </c>
      <c r="F11" s="7" t="s">
        <v>210</v>
      </c>
      <c r="G11" s="17" t="s">
        <v>210</v>
      </c>
    </row>
    <row r="12" spans="2:7" x14ac:dyDescent="0.25">
      <c r="B12" s="7"/>
      <c r="C12" s="4" t="s">
        <v>32</v>
      </c>
      <c r="D12" s="7" t="s">
        <v>32</v>
      </c>
      <c r="E12" s="7" t="s">
        <v>32</v>
      </c>
      <c r="F12" s="7" t="s">
        <v>32</v>
      </c>
      <c r="G12" s="17" t="s">
        <v>32</v>
      </c>
    </row>
    <row r="13" spans="2:7" x14ac:dyDescent="0.25">
      <c r="B13" s="7"/>
      <c r="C13" s="4" t="s">
        <v>51</v>
      </c>
      <c r="D13" s="7" t="s">
        <v>51</v>
      </c>
      <c r="E13" s="7" t="s">
        <v>51</v>
      </c>
      <c r="F13" s="7" t="s">
        <v>51</v>
      </c>
      <c r="G13" s="17" t="s">
        <v>51</v>
      </c>
    </row>
    <row r="14" spans="2:7" x14ac:dyDescent="0.25">
      <c r="B14" s="7"/>
      <c r="C14" s="4" t="s">
        <v>46</v>
      </c>
      <c r="D14" s="7" t="s">
        <v>46</v>
      </c>
      <c r="E14" s="7" t="s">
        <v>46</v>
      </c>
      <c r="F14" s="7" t="s">
        <v>46</v>
      </c>
      <c r="G14" s="17" t="s">
        <v>46</v>
      </c>
    </row>
    <row r="15" spans="2:7" x14ac:dyDescent="0.25">
      <c r="B15" s="7"/>
      <c r="C15" s="4" t="s">
        <v>70</v>
      </c>
      <c r="D15" s="7" t="s">
        <v>70</v>
      </c>
      <c r="E15" s="7" t="s">
        <v>70</v>
      </c>
      <c r="F15" s="7" t="s">
        <v>70</v>
      </c>
      <c r="G15" s="17" t="s">
        <v>70</v>
      </c>
    </row>
    <row r="16" spans="2:7" x14ac:dyDescent="0.25">
      <c r="B16" s="7"/>
      <c r="C16" s="4" t="s">
        <v>203</v>
      </c>
      <c r="D16" s="7" t="s">
        <v>203</v>
      </c>
      <c r="E16" s="7" t="s">
        <v>203</v>
      </c>
      <c r="F16" s="7" t="s">
        <v>203</v>
      </c>
      <c r="G16" s="17" t="s">
        <v>203</v>
      </c>
    </row>
    <row r="17" spans="2:7" x14ac:dyDescent="0.25">
      <c r="B17" s="7"/>
      <c r="C17" s="4" t="s">
        <v>152</v>
      </c>
      <c r="D17" s="7" t="s">
        <v>152</v>
      </c>
      <c r="E17" s="7" t="s">
        <v>152</v>
      </c>
      <c r="F17" s="7" t="s">
        <v>152</v>
      </c>
      <c r="G17" s="17" t="s">
        <v>152</v>
      </c>
    </row>
    <row r="18" spans="2:7" x14ac:dyDescent="0.25">
      <c r="B18" s="7"/>
      <c r="C18" s="4" t="s">
        <v>189</v>
      </c>
      <c r="D18" s="7" t="s">
        <v>189</v>
      </c>
      <c r="E18" s="7" t="s">
        <v>189</v>
      </c>
      <c r="F18" s="7" t="s">
        <v>189</v>
      </c>
      <c r="G18" s="17" t="s">
        <v>189</v>
      </c>
    </row>
    <row r="19" spans="2:7" x14ac:dyDescent="0.25">
      <c r="B19" s="7"/>
      <c r="C19" s="4"/>
      <c r="D19" s="7" t="s">
        <v>125</v>
      </c>
      <c r="E19" s="7" t="s">
        <v>125</v>
      </c>
      <c r="F19" s="7" t="s">
        <v>125</v>
      </c>
      <c r="G19" s="17" t="s">
        <v>125</v>
      </c>
    </row>
    <row r="20" spans="2:7" x14ac:dyDescent="0.25">
      <c r="B20" s="7"/>
      <c r="C20" s="4"/>
      <c r="D20" s="7" t="s">
        <v>139</v>
      </c>
      <c r="E20" s="7" t="s">
        <v>139</v>
      </c>
      <c r="F20" s="7" t="s">
        <v>139</v>
      </c>
      <c r="G20" s="17" t="s">
        <v>139</v>
      </c>
    </row>
    <row r="21" spans="2:7" x14ac:dyDescent="0.25">
      <c r="B21" s="7"/>
      <c r="C21" s="4"/>
      <c r="D21" s="7" t="s">
        <v>112</v>
      </c>
      <c r="E21" s="7" t="s">
        <v>112</v>
      </c>
      <c r="F21" s="7" t="s">
        <v>112</v>
      </c>
      <c r="G21" s="17" t="s">
        <v>112</v>
      </c>
    </row>
    <row r="22" spans="2:7" x14ac:dyDescent="0.25">
      <c r="B22" s="7"/>
      <c r="C22" s="4"/>
      <c r="D22" s="7" t="s">
        <v>163</v>
      </c>
      <c r="E22" s="7" t="s">
        <v>163</v>
      </c>
      <c r="F22" s="7" t="s">
        <v>163</v>
      </c>
      <c r="G22" s="17" t="s">
        <v>163</v>
      </c>
    </row>
    <row r="23" spans="2:7" x14ac:dyDescent="0.25">
      <c r="B23" s="7"/>
      <c r="C23" s="4"/>
      <c r="D23" s="7" t="s">
        <v>195</v>
      </c>
      <c r="E23" s="7" t="s">
        <v>195</v>
      </c>
      <c r="F23" s="7" t="s">
        <v>195</v>
      </c>
      <c r="G23" s="17" t="s">
        <v>195</v>
      </c>
    </row>
    <row r="24" spans="2:7" x14ac:dyDescent="0.25">
      <c r="B24" s="7"/>
      <c r="C24" s="4"/>
      <c r="D24" s="7" t="s">
        <v>66</v>
      </c>
      <c r="E24" s="7" t="s">
        <v>66</v>
      </c>
      <c r="F24" s="7" t="s">
        <v>66</v>
      </c>
      <c r="G24" s="17" t="s">
        <v>66</v>
      </c>
    </row>
    <row r="25" spans="2:7" x14ac:dyDescent="0.25">
      <c r="B25" s="7"/>
      <c r="C25" s="4"/>
      <c r="D25" s="7" t="s">
        <v>174</v>
      </c>
      <c r="E25" s="7" t="s">
        <v>174</v>
      </c>
      <c r="F25" s="7" t="s">
        <v>174</v>
      </c>
      <c r="G25" s="17" t="s">
        <v>174</v>
      </c>
    </row>
    <row r="26" spans="2:7" x14ac:dyDescent="0.25">
      <c r="B26" s="7"/>
      <c r="C26" s="4"/>
      <c r="D26" s="7" t="s">
        <v>190</v>
      </c>
      <c r="E26" s="7" t="s">
        <v>190</v>
      </c>
      <c r="F26" s="7" t="s">
        <v>190</v>
      </c>
      <c r="G26" s="17" t="s">
        <v>190</v>
      </c>
    </row>
    <row r="27" spans="2:7" x14ac:dyDescent="0.25">
      <c r="B27" s="7"/>
      <c r="C27" s="4"/>
      <c r="D27" s="7"/>
      <c r="E27" s="7" t="s">
        <v>52</v>
      </c>
      <c r="F27" s="7" t="s">
        <v>52</v>
      </c>
      <c r="G27" s="17" t="s">
        <v>52</v>
      </c>
    </row>
    <row r="28" spans="2:7" x14ac:dyDescent="0.25">
      <c r="B28" s="7"/>
      <c r="C28" s="4"/>
      <c r="D28" s="7"/>
      <c r="E28" s="7"/>
      <c r="F28" s="7"/>
      <c r="G28" s="17" t="s">
        <v>72</v>
      </c>
    </row>
    <row r="29" spans="2:7" x14ac:dyDescent="0.25">
      <c r="B29" s="7"/>
      <c r="C29" s="4"/>
      <c r="D29" s="7"/>
      <c r="E29" s="7"/>
      <c r="F29" s="7"/>
      <c r="G29" s="17" t="s">
        <v>61</v>
      </c>
    </row>
    <row r="30" spans="2:7" ht="15.75" thickBot="1" x14ac:dyDescent="0.3">
      <c r="B30" s="8"/>
      <c r="C30" s="5"/>
      <c r="D30" s="8"/>
      <c r="E30" s="8"/>
      <c r="F30" s="8"/>
      <c r="G30" s="18" t="s">
        <v>164</v>
      </c>
    </row>
    <row r="31" spans="2:7" ht="15.75" thickBot="1" x14ac:dyDescent="0.3">
      <c r="B31" s="26" t="s">
        <v>368</v>
      </c>
      <c r="C31" s="19">
        <f>COUNTA(C3:C30)</f>
        <v>16</v>
      </c>
      <c r="D31" s="21">
        <f t="shared" ref="D31:G31" si="0">COUNTA(D3:D30)</f>
        <v>24</v>
      </c>
      <c r="E31" s="21">
        <f t="shared" si="0"/>
        <v>25</v>
      </c>
      <c r="F31" s="21">
        <f t="shared" si="0"/>
        <v>25</v>
      </c>
      <c r="G31" s="20">
        <f t="shared" si="0"/>
        <v>28</v>
      </c>
    </row>
    <row r="32" spans="2:7" ht="15.75" thickBot="1" x14ac:dyDescent="0.3"/>
    <row r="33" spans="2:7" ht="19.5" thickBot="1" x14ac:dyDescent="0.35">
      <c r="C33" s="23" t="s">
        <v>362</v>
      </c>
      <c r="D33" s="25" t="s">
        <v>363</v>
      </c>
      <c r="E33" s="25" t="s">
        <v>364</v>
      </c>
      <c r="F33" s="25" t="s">
        <v>365</v>
      </c>
      <c r="G33" s="24" t="s">
        <v>366</v>
      </c>
    </row>
    <row r="34" spans="2:7" ht="18.75" x14ac:dyDescent="0.3">
      <c r="B34" s="22" t="s">
        <v>367</v>
      </c>
      <c r="C34" s="6" t="s">
        <v>347</v>
      </c>
      <c r="D34" s="6" t="s">
        <v>347</v>
      </c>
      <c r="E34" s="6" t="s">
        <v>347</v>
      </c>
      <c r="F34" s="6" t="s">
        <v>347</v>
      </c>
      <c r="G34" s="6" t="s">
        <v>347</v>
      </c>
    </row>
    <row r="35" spans="2:7" x14ac:dyDescent="0.25">
      <c r="B35" s="7"/>
      <c r="C35" s="7" t="s">
        <v>352</v>
      </c>
      <c r="D35" s="7" t="s">
        <v>352</v>
      </c>
      <c r="E35" s="7" t="s">
        <v>352</v>
      </c>
      <c r="F35" s="7" t="s">
        <v>352</v>
      </c>
      <c r="G35" s="7" t="s">
        <v>352</v>
      </c>
    </row>
    <row r="36" spans="2:7" x14ac:dyDescent="0.25">
      <c r="B36" s="7"/>
      <c r="C36" s="7" t="s">
        <v>354</v>
      </c>
      <c r="D36" s="7" t="s">
        <v>354</v>
      </c>
      <c r="E36" s="7" t="s">
        <v>354</v>
      </c>
      <c r="F36" s="7" t="s">
        <v>354</v>
      </c>
      <c r="G36" s="7" t="s">
        <v>354</v>
      </c>
    </row>
    <row r="37" spans="2:7" x14ac:dyDescent="0.25">
      <c r="B37" s="7"/>
      <c r="C37" s="7" t="s">
        <v>158</v>
      </c>
      <c r="D37" s="7" t="s">
        <v>158</v>
      </c>
      <c r="E37" s="7" t="s">
        <v>158</v>
      </c>
      <c r="F37" s="7" t="s">
        <v>158</v>
      </c>
      <c r="G37" s="7" t="s">
        <v>158</v>
      </c>
    </row>
    <row r="38" spans="2:7" x14ac:dyDescent="0.25">
      <c r="B38" s="7"/>
      <c r="C38" s="7" t="s">
        <v>210</v>
      </c>
      <c r="D38" s="7" t="s">
        <v>210</v>
      </c>
      <c r="E38" s="7" t="s">
        <v>210</v>
      </c>
      <c r="F38" s="7" t="s">
        <v>210</v>
      </c>
      <c r="G38" s="7" t="s">
        <v>210</v>
      </c>
    </row>
    <row r="39" spans="2:7" x14ac:dyDescent="0.25">
      <c r="B39" s="7"/>
      <c r="C39" s="7" t="s">
        <v>220</v>
      </c>
      <c r="D39" s="7" t="s">
        <v>220</v>
      </c>
      <c r="E39" s="7" t="s">
        <v>220</v>
      </c>
      <c r="F39" s="7" t="s">
        <v>220</v>
      </c>
      <c r="G39" s="7" t="s">
        <v>220</v>
      </c>
    </row>
    <row r="40" spans="2:7" x14ac:dyDescent="0.25">
      <c r="B40" s="7"/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50</v>
      </c>
    </row>
    <row r="41" spans="2:7" x14ac:dyDescent="0.25">
      <c r="B41" s="7"/>
      <c r="C41" s="7" t="s">
        <v>348</v>
      </c>
      <c r="D41" s="7" t="s">
        <v>348</v>
      </c>
      <c r="E41" s="7" t="s">
        <v>348</v>
      </c>
      <c r="F41" s="7" t="s">
        <v>348</v>
      </c>
      <c r="G41" s="7" t="s">
        <v>348</v>
      </c>
    </row>
    <row r="42" spans="2:7" x14ac:dyDescent="0.25">
      <c r="B42" s="7"/>
      <c r="C42" s="7" t="s">
        <v>344</v>
      </c>
      <c r="D42" s="7" t="s">
        <v>344</v>
      </c>
      <c r="E42" s="7" t="s">
        <v>344</v>
      </c>
      <c r="F42" s="7" t="s">
        <v>344</v>
      </c>
      <c r="G42" s="7" t="s">
        <v>344</v>
      </c>
    </row>
    <row r="43" spans="2:7" ht="15.75" thickBot="1" x14ac:dyDescent="0.3">
      <c r="B43" s="8"/>
      <c r="C43" s="8"/>
      <c r="D43" s="8"/>
      <c r="E43" s="8"/>
      <c r="F43" s="8"/>
      <c r="G43" s="8" t="s">
        <v>346</v>
      </c>
    </row>
    <row r="44" spans="2:7" ht="15.75" thickBot="1" x14ac:dyDescent="0.3">
      <c r="B44" s="26" t="s">
        <v>368</v>
      </c>
      <c r="C44" s="21">
        <f>COUNTA(C34:C43)</f>
        <v>9</v>
      </c>
      <c r="D44" s="21">
        <f>COUNTA(D34:D43)</f>
        <v>9</v>
      </c>
      <c r="E44" s="21">
        <f>COUNTA(E34:E43)</f>
        <v>9</v>
      </c>
      <c r="F44" s="21">
        <f>COUNTA(F34:F43)</f>
        <v>9</v>
      </c>
      <c r="G44" s="21">
        <f>COUNTA(G34:G43)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Januari_By_Owner</vt:lpstr>
      <vt:lpstr>Februari_By_Owner</vt:lpstr>
      <vt:lpstr>Maret_By_Owner</vt:lpstr>
      <vt:lpstr>April_By_Owner</vt:lpstr>
      <vt:lpstr>Mei_By_Owner</vt:lpstr>
      <vt:lpstr>Januari_By_Requester</vt:lpstr>
      <vt:lpstr>Februari_By_Requester</vt:lpstr>
      <vt:lpstr>Maret_By_Requester</vt:lpstr>
      <vt:lpstr>April_By_Requester</vt:lpstr>
      <vt:lpstr>Mei_By_Requester</vt:lpstr>
      <vt:lpstr>Active</vt:lpstr>
      <vt:lpstr>Monthly_Recap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BANGUN(544837)</dc:creator>
  <cp:lastModifiedBy>Evan Bangun</cp:lastModifiedBy>
  <dcterms:created xsi:type="dcterms:W3CDTF">2025-07-10T08:46:01Z</dcterms:created>
  <dcterms:modified xsi:type="dcterms:W3CDTF">2025-07-21T06:26:32Z</dcterms:modified>
</cp:coreProperties>
</file>